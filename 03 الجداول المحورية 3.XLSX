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10769622-F78C-4D1C-B1BE-028F65C2B098}" xr6:coauthVersionLast="47" xr6:coauthVersionMax="47" xr10:uidLastSave="{00000000-0000-0000-0000-000000000000}"/>
  <bookViews>
    <workbookView xWindow="-108" yWindow="-108" windowWidth="23256" windowHeight="12456" activeTab="1" xr2:uid="{1C3C52B2-3973-4094-980B-3D00002DA472}"/>
  </bookViews>
  <sheets>
    <sheet name="توزيع سلل صحية" sheetId="1" r:id="rId1"/>
    <sheet name="ملخص التحليل" sheetId="2" r:id="rId2"/>
  </sheets>
  <definedNames>
    <definedName name="ee" hidden="1">{"FirstQ",#N/A,FALSE,"Budget2000";"SecondQ",#N/A,FALSE,"Budget2000";"Summary",#N/A,FALSE,"Budget2000"}</definedName>
    <definedName name="k" hidden="1">{"FirstQ",#N/A,FALSE,"Budget2000";"SecondQ",#N/A,FALSE,"Budget2000";"Summary",#N/A,FALSE,"Budget2000"}</definedName>
    <definedName name="NativeTimeline_التاريخ">#N/A</definedName>
    <definedName name="q"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Slicer_النوع">#N/A</definedName>
    <definedName name="Slicer_نوع_التغطية">#N/A</definedName>
    <definedName name="wrn.AllData." hidden="1">{"FirstQ",#N/A,FALSE,"Budget2000";"SecondQ",#N/A,FALSE,"Budget2000";"Summary",#N/A,FALSE,"Budget2000"}</definedName>
    <definedName name="wrn.FirstHalf." hidden="1">{"FirstQ",#N/A,FALSE,"Budget2000";"SecondQ",#N/A,FALSE,"Budget2000"}</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s>
  <calcPr calcId="181029"/>
  <pivotCaches>
    <pivotCache cacheId="0" r:id="rId3"/>
  </pivotCaches>
  <fileRecoveryPr autoRecover="0"/>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7" i="1" l="1"/>
  <c r="H127" i="1" s="1"/>
  <c r="H126" i="1"/>
  <c r="G126" i="1"/>
  <c r="G125" i="1"/>
  <c r="H125" i="1" s="1"/>
  <c r="G124" i="1"/>
  <c r="H124" i="1" s="1"/>
  <c r="G123" i="1"/>
  <c r="H123" i="1" s="1"/>
  <c r="G122" i="1"/>
  <c r="H122" i="1" s="1"/>
  <c r="G121" i="1"/>
  <c r="H121" i="1" s="1"/>
  <c r="G120" i="1"/>
  <c r="H120" i="1" s="1"/>
  <c r="G119" i="1"/>
  <c r="H119" i="1" s="1"/>
  <c r="H118" i="1"/>
  <c r="G118" i="1"/>
  <c r="G117" i="1"/>
  <c r="H117" i="1" s="1"/>
  <c r="G116" i="1"/>
  <c r="H116" i="1" s="1"/>
  <c r="G115" i="1"/>
  <c r="H115" i="1" s="1"/>
  <c r="H114" i="1"/>
  <c r="G114" i="1"/>
  <c r="G113" i="1"/>
  <c r="H113" i="1" s="1"/>
  <c r="G112" i="1"/>
  <c r="H112" i="1" s="1"/>
  <c r="G111" i="1"/>
  <c r="H111" i="1" s="1"/>
  <c r="G110" i="1"/>
  <c r="H110" i="1" s="1"/>
  <c r="G109" i="1"/>
  <c r="H109" i="1" s="1"/>
  <c r="G108" i="1"/>
  <c r="H108" i="1" s="1"/>
  <c r="G107" i="1"/>
  <c r="H107" i="1" s="1"/>
  <c r="G106" i="1"/>
  <c r="H106" i="1" s="1"/>
  <c r="G105" i="1"/>
  <c r="H105" i="1" s="1"/>
  <c r="G104" i="1"/>
  <c r="H104" i="1" s="1"/>
  <c r="G103" i="1"/>
  <c r="H103" i="1" s="1"/>
  <c r="H102" i="1"/>
  <c r="G102" i="1"/>
  <c r="G101" i="1"/>
  <c r="H101" i="1" s="1"/>
  <c r="G100" i="1"/>
  <c r="H100" i="1" s="1"/>
  <c r="G99" i="1"/>
  <c r="H99" i="1" s="1"/>
  <c r="G98" i="1"/>
  <c r="H98" i="1" s="1"/>
  <c r="G97" i="1"/>
  <c r="H97" i="1" s="1"/>
  <c r="G96" i="1"/>
  <c r="H96" i="1" s="1"/>
  <c r="G95" i="1"/>
  <c r="H95" i="1" s="1"/>
  <c r="G94" i="1"/>
  <c r="H94" i="1" s="1"/>
  <c r="G93" i="1"/>
  <c r="H93" i="1" s="1"/>
  <c r="G92" i="1"/>
  <c r="H92" i="1" s="1"/>
  <c r="G91" i="1"/>
  <c r="H91" i="1" s="1"/>
  <c r="G90" i="1"/>
  <c r="H90" i="1" s="1"/>
  <c r="G89" i="1"/>
  <c r="H89" i="1" s="1"/>
  <c r="G88" i="1"/>
  <c r="H88" i="1" s="1"/>
  <c r="G87" i="1"/>
  <c r="H87" i="1" s="1"/>
  <c r="G86" i="1"/>
  <c r="H86" i="1" s="1"/>
  <c r="G85" i="1"/>
  <c r="H85" i="1" s="1"/>
  <c r="G84" i="1"/>
  <c r="H84" i="1" s="1"/>
  <c r="G83" i="1"/>
  <c r="H83" i="1" s="1"/>
  <c r="G82" i="1"/>
  <c r="H82" i="1" s="1"/>
  <c r="G81" i="1"/>
  <c r="H81" i="1" s="1"/>
  <c r="G80" i="1"/>
  <c r="H80" i="1" s="1"/>
  <c r="G79" i="1"/>
  <c r="H79" i="1" s="1"/>
  <c r="H78" i="1"/>
  <c r="G78" i="1"/>
  <c r="G77" i="1"/>
  <c r="H77" i="1" s="1"/>
  <c r="G76" i="1"/>
  <c r="H76" i="1" s="1"/>
  <c r="G75" i="1"/>
  <c r="H75" i="1" s="1"/>
  <c r="G74" i="1"/>
  <c r="H74" i="1" s="1"/>
  <c r="G73" i="1"/>
  <c r="H73" i="1" s="1"/>
  <c r="G72" i="1"/>
  <c r="H72" i="1" s="1"/>
  <c r="G71" i="1"/>
  <c r="H71" i="1" s="1"/>
  <c r="H70" i="1"/>
  <c r="G70" i="1"/>
  <c r="G69" i="1"/>
  <c r="H69" i="1" s="1"/>
  <c r="G68" i="1"/>
  <c r="H68" i="1" s="1"/>
  <c r="G67" i="1"/>
  <c r="H67" i="1" s="1"/>
  <c r="H66" i="1"/>
  <c r="G66" i="1"/>
  <c r="G65" i="1"/>
  <c r="H65" i="1" s="1"/>
  <c r="G64" i="1"/>
  <c r="H64" i="1" s="1"/>
  <c r="G63" i="1"/>
  <c r="H63" i="1" s="1"/>
  <c r="G62" i="1"/>
  <c r="H62" i="1" s="1"/>
  <c r="G61" i="1"/>
  <c r="H61" i="1" s="1"/>
  <c r="G60" i="1"/>
  <c r="H60" i="1" s="1"/>
  <c r="G59" i="1"/>
  <c r="H59" i="1" s="1"/>
  <c r="G58" i="1"/>
  <c r="H58" i="1" s="1"/>
  <c r="G57" i="1"/>
  <c r="H57" i="1" s="1"/>
  <c r="G56" i="1"/>
  <c r="H56" i="1" s="1"/>
  <c r="G55" i="1"/>
  <c r="H55" i="1" s="1"/>
  <c r="G54" i="1"/>
  <c r="H54" i="1" s="1"/>
  <c r="G53" i="1"/>
  <c r="H53" i="1" s="1"/>
  <c r="G52" i="1"/>
  <c r="H52" i="1" s="1"/>
  <c r="G51" i="1"/>
  <c r="H51" i="1" s="1"/>
  <c r="H50" i="1"/>
  <c r="G50" i="1"/>
  <c r="G49" i="1"/>
  <c r="H49" i="1" s="1"/>
  <c r="G48" i="1"/>
  <c r="H48" i="1" s="1"/>
  <c r="G47" i="1"/>
  <c r="H47" i="1" s="1"/>
  <c r="G46" i="1"/>
  <c r="H46" i="1" s="1"/>
  <c r="G45" i="1"/>
  <c r="H45" i="1" s="1"/>
  <c r="G44" i="1"/>
  <c r="H44" i="1" s="1"/>
  <c r="G43" i="1"/>
  <c r="H43" i="1" s="1"/>
  <c r="G42" i="1"/>
  <c r="H42" i="1" s="1"/>
  <c r="G41" i="1"/>
  <c r="H41" i="1" s="1"/>
  <c r="G40" i="1"/>
  <c r="H40" i="1" s="1"/>
  <c r="G39" i="1"/>
  <c r="H39" i="1" s="1"/>
  <c r="H38" i="1"/>
  <c r="G38" i="1"/>
  <c r="G37" i="1"/>
  <c r="H37" i="1" s="1"/>
  <c r="G36" i="1"/>
  <c r="H36" i="1" s="1"/>
  <c r="G35" i="1"/>
  <c r="H35" i="1" s="1"/>
  <c r="G34" i="1"/>
  <c r="H34" i="1" s="1"/>
  <c r="G33" i="1"/>
  <c r="H33" i="1" s="1"/>
  <c r="G32" i="1"/>
  <c r="H32" i="1" s="1"/>
  <c r="G31" i="1"/>
  <c r="H31" i="1" s="1"/>
  <c r="H30" i="1"/>
  <c r="G30" i="1"/>
  <c r="G29" i="1"/>
  <c r="H29" i="1" s="1"/>
  <c r="G28" i="1"/>
  <c r="H28" i="1" s="1"/>
  <c r="G27" i="1"/>
  <c r="H27" i="1" s="1"/>
  <c r="G26" i="1"/>
  <c r="H26" i="1" s="1"/>
  <c r="G25" i="1"/>
  <c r="H25" i="1" s="1"/>
  <c r="G24" i="1"/>
  <c r="H24" i="1" s="1"/>
  <c r="G23" i="1"/>
  <c r="H23" i="1" s="1"/>
  <c r="H22" i="1"/>
  <c r="G22" i="1"/>
  <c r="G21" i="1"/>
  <c r="H21" i="1" s="1"/>
  <c r="G20" i="1"/>
  <c r="H20" i="1" s="1"/>
  <c r="G19" i="1"/>
  <c r="H19" i="1" s="1"/>
  <c r="H18" i="1"/>
  <c r="G18" i="1"/>
  <c r="G17" i="1"/>
  <c r="H17" i="1" s="1"/>
  <c r="G16" i="1"/>
  <c r="H16" i="1" s="1"/>
  <c r="G15" i="1"/>
  <c r="H15" i="1" s="1"/>
  <c r="G14" i="1"/>
  <c r="H14" i="1" s="1"/>
  <c r="G13" i="1"/>
  <c r="H13" i="1" s="1"/>
  <c r="G12" i="1"/>
  <c r="H12" i="1" s="1"/>
  <c r="G11" i="1"/>
  <c r="H11" i="1" s="1"/>
  <c r="G10" i="1"/>
  <c r="H10" i="1" s="1"/>
  <c r="G9" i="1"/>
  <c r="H9" i="1" s="1"/>
  <c r="G8" i="1"/>
  <c r="H8" i="1" s="1"/>
  <c r="G7" i="1"/>
  <c r="H7" i="1" s="1"/>
  <c r="G6" i="1"/>
  <c r="H6" i="1" s="1"/>
  <c r="G5" i="1"/>
  <c r="H5" i="1" s="1"/>
  <c r="G4" i="1"/>
  <c r="H4" i="1" s="1"/>
  <c r="G3" i="1"/>
  <c r="H3" i="1" s="1"/>
</calcChain>
</file>

<file path=xl/sharedStrings.xml><?xml version="1.0" encoding="utf-8"?>
<sst xmlns="http://schemas.openxmlformats.org/spreadsheetml/2006/main" count="522" uniqueCount="269">
  <si>
    <t>توزيع سلل صحية</t>
  </si>
  <si>
    <t>الكود</t>
  </si>
  <si>
    <t>المحافظة</t>
  </si>
  <si>
    <t>المنطقة</t>
  </si>
  <si>
    <t>التاريخ</t>
  </si>
  <si>
    <t>المستهدفين</t>
  </si>
  <si>
    <t>المستحقين</t>
  </si>
  <si>
    <t>التغطية</t>
  </si>
  <si>
    <t>نوع التغطية</t>
  </si>
  <si>
    <t>النوع</t>
  </si>
  <si>
    <t>تقييم النوع</t>
  </si>
  <si>
    <t>المبلغ</t>
  </si>
  <si>
    <t>SY020401</t>
  </si>
  <si>
    <t>حلب</t>
  </si>
  <si>
    <t>اخترين</t>
  </si>
  <si>
    <t>B</t>
  </si>
  <si>
    <t>D</t>
  </si>
  <si>
    <t>SY020405</t>
  </si>
  <si>
    <t>صوران</t>
  </si>
  <si>
    <t>SY020400</t>
  </si>
  <si>
    <t>مركز اعزاز</t>
  </si>
  <si>
    <t>SY020403</t>
  </si>
  <si>
    <t>مارع</t>
  </si>
  <si>
    <t>SY020402</t>
  </si>
  <si>
    <t>تل رفعت</t>
  </si>
  <si>
    <t>SY020404</t>
  </si>
  <si>
    <t>نبل</t>
  </si>
  <si>
    <t>A</t>
  </si>
  <si>
    <t>SY020203</t>
  </si>
  <si>
    <t>الراعي</t>
  </si>
  <si>
    <t>SY020206</t>
  </si>
  <si>
    <t>عريمة</t>
  </si>
  <si>
    <t>SY020200</t>
  </si>
  <si>
    <t>مركز الباب</t>
  </si>
  <si>
    <t>SY020201</t>
  </si>
  <si>
    <t>تادف</t>
  </si>
  <si>
    <t>SY020205</t>
  </si>
  <si>
    <t>رسم حرمل الامام</t>
  </si>
  <si>
    <t>SY020202</t>
  </si>
  <si>
    <t>دير حافر</t>
  </si>
  <si>
    <t>C</t>
  </si>
  <si>
    <t>SY020204</t>
  </si>
  <si>
    <t>كويرس شرقي</t>
  </si>
  <si>
    <t>SY020700</t>
  </si>
  <si>
    <t>مركز السفيرة</t>
  </si>
  <si>
    <t>بنان</t>
  </si>
  <si>
    <t>SY020703</t>
  </si>
  <si>
    <t>الحاجب</t>
  </si>
  <si>
    <t>SY020701</t>
  </si>
  <si>
    <t>خناصر</t>
  </si>
  <si>
    <t>SY020002</t>
  </si>
  <si>
    <t>تل الضمان</t>
  </si>
  <si>
    <t>SY020006</t>
  </si>
  <si>
    <t>الحاضر</t>
  </si>
  <si>
    <t>SY020005</t>
  </si>
  <si>
    <t>الزربة</t>
  </si>
  <si>
    <t>SY020004</t>
  </si>
  <si>
    <t>دارة عزة</t>
  </si>
  <si>
    <t>SY020001</t>
  </si>
  <si>
    <t>أتارب</t>
  </si>
  <si>
    <t>SY020003</t>
  </si>
  <si>
    <t>حريتان</t>
  </si>
  <si>
    <t>SY020000</t>
  </si>
  <si>
    <t>مركز جبل سمعان</t>
  </si>
  <si>
    <t>SY020800</t>
  </si>
  <si>
    <t>مركز جرابلس</t>
  </si>
  <si>
    <t>SY020801</t>
  </si>
  <si>
    <t>غندورة</t>
  </si>
  <si>
    <t>SY020301</t>
  </si>
  <si>
    <t>بلبل</t>
  </si>
  <si>
    <t>SY020303</t>
  </si>
  <si>
    <t>راجو</t>
  </si>
  <si>
    <t>SY020306</t>
  </si>
  <si>
    <t>معبطلي</t>
  </si>
  <si>
    <t>SY020305</t>
  </si>
  <si>
    <t>شيخ الحديد</t>
  </si>
  <si>
    <t>SY020302</t>
  </si>
  <si>
    <t>جنديرس</t>
  </si>
  <si>
    <t>SY020304</t>
  </si>
  <si>
    <t>شران</t>
  </si>
  <si>
    <t>SY020300</t>
  </si>
  <si>
    <t>مركز عفرين</t>
  </si>
  <si>
    <t>SY020601</t>
  </si>
  <si>
    <t>شيوخ تحتاني</t>
  </si>
  <si>
    <t>SY020600</t>
  </si>
  <si>
    <t>مركز عين العرب</t>
  </si>
  <si>
    <t>SY020602</t>
  </si>
  <si>
    <t>صرين</t>
  </si>
  <si>
    <t>SY020500</t>
  </si>
  <si>
    <t>مركز منبج</t>
  </si>
  <si>
    <t>SY020501</t>
  </si>
  <si>
    <t>أبو قلقل</t>
  </si>
  <si>
    <t>SY020502</t>
  </si>
  <si>
    <t>الخفسة</t>
  </si>
  <si>
    <t>SY020503</t>
  </si>
  <si>
    <t>مسكنة</t>
  </si>
  <si>
    <t>SY010000</t>
  </si>
  <si>
    <t>مدينة دمشق</t>
  </si>
  <si>
    <t>SY120300</t>
  </si>
  <si>
    <t>درعا</t>
  </si>
  <si>
    <t>مركز ازرع</t>
  </si>
  <si>
    <t>SY120301</t>
  </si>
  <si>
    <t>جاسم</t>
  </si>
  <si>
    <t>SY120302</t>
  </si>
  <si>
    <t>الحراك</t>
  </si>
  <si>
    <t>SY120303</t>
  </si>
  <si>
    <t>نوى</t>
  </si>
  <si>
    <t>الشيخ مسكين</t>
  </si>
  <si>
    <t>SY120305</t>
  </si>
  <si>
    <t>تسيل</t>
  </si>
  <si>
    <t>SY120200</t>
  </si>
  <si>
    <t>مركز الصنمين</t>
  </si>
  <si>
    <t>SY120201</t>
  </si>
  <si>
    <t>المسمية</t>
  </si>
  <si>
    <t>SY120202</t>
  </si>
  <si>
    <t>غباغب</t>
  </si>
  <si>
    <t>SY120000</t>
  </si>
  <si>
    <t>مركز درعا</t>
  </si>
  <si>
    <t>SY120001</t>
  </si>
  <si>
    <t>بصرى الشام</t>
  </si>
  <si>
    <t>SY120002</t>
  </si>
  <si>
    <t>خربة غزالة</t>
  </si>
  <si>
    <t>SY120003</t>
  </si>
  <si>
    <t>الشجرة</t>
  </si>
  <si>
    <t>SY120004</t>
  </si>
  <si>
    <t>داعل</t>
  </si>
  <si>
    <t>SY120005</t>
  </si>
  <si>
    <t>مزيريب</t>
  </si>
  <si>
    <t>SY120006</t>
  </si>
  <si>
    <t>الجيزة</t>
  </si>
  <si>
    <t>SY120007</t>
  </si>
  <si>
    <t>المسيفرة</t>
  </si>
  <si>
    <t>SY050200</t>
  </si>
  <si>
    <t>حماة</t>
  </si>
  <si>
    <t>مركز السقيلبية</t>
  </si>
  <si>
    <t>SY050201</t>
  </si>
  <si>
    <t>تلسلحب</t>
  </si>
  <si>
    <t>SY050202</t>
  </si>
  <si>
    <t>الزيارة</t>
  </si>
  <si>
    <t>SY050203</t>
  </si>
  <si>
    <t>شطحة</t>
  </si>
  <si>
    <t>SY050204</t>
  </si>
  <si>
    <t>قلعة المضيق</t>
  </si>
  <si>
    <t>SY050300</t>
  </si>
  <si>
    <t>مركز السلمية</t>
  </si>
  <si>
    <t>SY050301</t>
  </si>
  <si>
    <t>بري شرقي</t>
  </si>
  <si>
    <t>SY050302</t>
  </si>
  <si>
    <t>السعن</t>
  </si>
  <si>
    <t>SY050304</t>
  </si>
  <si>
    <t>عقيربات</t>
  </si>
  <si>
    <t>SY050500</t>
  </si>
  <si>
    <t>مركز محردة</t>
  </si>
  <si>
    <t>SY050501</t>
  </si>
  <si>
    <t>كفرزيتا</t>
  </si>
  <si>
    <t>SY050502</t>
  </si>
  <si>
    <t>كرناز</t>
  </si>
  <si>
    <t>SY050100</t>
  </si>
  <si>
    <t>مركز حماة</t>
  </si>
  <si>
    <t>SY050101</t>
  </si>
  <si>
    <t>SY050102</t>
  </si>
  <si>
    <t>حربنفسه</t>
  </si>
  <si>
    <t>SY050103</t>
  </si>
  <si>
    <t>الحمراء</t>
  </si>
  <si>
    <t>SY050400</t>
  </si>
  <si>
    <t>مركز مصياف</t>
  </si>
  <si>
    <t>SY050401</t>
  </si>
  <si>
    <t>جب رملة</t>
  </si>
  <si>
    <t>SY050402</t>
  </si>
  <si>
    <t>عوج</t>
  </si>
  <si>
    <t>SY050404</t>
  </si>
  <si>
    <t>وادي العيون</t>
  </si>
  <si>
    <t>SY050403</t>
  </si>
  <si>
    <t>عين حلاقيم</t>
  </si>
  <si>
    <t>SY050303</t>
  </si>
  <si>
    <t>صبورة</t>
  </si>
  <si>
    <t>SY040400</t>
  </si>
  <si>
    <t>حمص</t>
  </si>
  <si>
    <t>مركز الرستن</t>
  </si>
  <si>
    <t>SY040401</t>
  </si>
  <si>
    <t>تلبيسة</t>
  </si>
  <si>
    <t>SY040200</t>
  </si>
  <si>
    <t>مركز القصير</t>
  </si>
  <si>
    <t>SY040600</t>
  </si>
  <si>
    <t>المخرم</t>
  </si>
  <si>
    <t>SY040601</t>
  </si>
  <si>
    <t>جب الجراح</t>
  </si>
  <si>
    <t>SY040500</t>
  </si>
  <si>
    <t>مركز تدمر</t>
  </si>
  <si>
    <t>SY040501</t>
  </si>
  <si>
    <t>السخنة</t>
  </si>
  <si>
    <t>SY040300</t>
  </si>
  <si>
    <t>مركز تلكلخ</t>
  </si>
  <si>
    <t>SY040301</t>
  </si>
  <si>
    <t>حديدة</t>
  </si>
  <si>
    <t>SY040304</t>
  </si>
  <si>
    <t>الحواش</t>
  </si>
  <si>
    <t>SY040303</t>
  </si>
  <si>
    <t>الناصرة</t>
  </si>
  <si>
    <t>SY040100</t>
  </si>
  <si>
    <t>مركز حمص</t>
  </si>
  <si>
    <t>SY040101</t>
  </si>
  <si>
    <t>تلدو</t>
  </si>
  <si>
    <t>SY040102</t>
  </si>
  <si>
    <t>خربة تين نور</t>
  </si>
  <si>
    <t>SY040103</t>
  </si>
  <si>
    <t>عين النسر</t>
  </si>
  <si>
    <t>SY040104</t>
  </si>
  <si>
    <t>الفرقلس</t>
  </si>
  <si>
    <t>SY040105</t>
  </si>
  <si>
    <t>الرقاما</t>
  </si>
  <si>
    <t>SY040107</t>
  </si>
  <si>
    <t>مهين</t>
  </si>
  <si>
    <t>SY040109</t>
  </si>
  <si>
    <t>صدد</t>
  </si>
  <si>
    <t>SY040106</t>
  </si>
  <si>
    <t>القريتين</t>
  </si>
  <si>
    <t>SY040110</t>
  </si>
  <si>
    <t>القبو</t>
  </si>
  <si>
    <t>SY040111</t>
  </si>
  <si>
    <t>شين</t>
  </si>
  <si>
    <t>SY040108</t>
  </si>
  <si>
    <t>حسياء</t>
  </si>
  <si>
    <t>SY060303</t>
  </si>
  <si>
    <t>اللاذقية</t>
  </si>
  <si>
    <t>كنسبا</t>
  </si>
  <si>
    <t>SY060301</t>
  </si>
  <si>
    <t>صلنفة</t>
  </si>
  <si>
    <t>SY060304</t>
  </si>
  <si>
    <t>مزيرعة</t>
  </si>
  <si>
    <t>SY060302</t>
  </si>
  <si>
    <t>عين التينة</t>
  </si>
  <si>
    <t>SY060300</t>
  </si>
  <si>
    <t>مركزالحفة</t>
  </si>
  <si>
    <t>SY060402</t>
  </si>
  <si>
    <t>الفاخورة</t>
  </si>
  <si>
    <t>SY060403</t>
  </si>
  <si>
    <t>جوبة برغال</t>
  </si>
  <si>
    <t>SY060400</t>
  </si>
  <si>
    <t>مركز القرداحة</t>
  </si>
  <si>
    <t>SY060401</t>
  </si>
  <si>
    <t>حرف المسيترة</t>
  </si>
  <si>
    <t>SY060200</t>
  </si>
  <si>
    <t>مركز جبلة</t>
  </si>
  <si>
    <t>SY060202</t>
  </si>
  <si>
    <t>القطيلبية</t>
  </si>
  <si>
    <t>SY060203</t>
  </si>
  <si>
    <t>عين شقاق</t>
  </si>
  <si>
    <t>SY060204</t>
  </si>
  <si>
    <t>دالية</t>
  </si>
  <si>
    <t>SY060205</t>
  </si>
  <si>
    <t>بيت ياشوط</t>
  </si>
  <si>
    <t>SY060002</t>
  </si>
  <si>
    <t>ربيعة</t>
  </si>
  <si>
    <t>SY060001</t>
  </si>
  <si>
    <t>البهلولية</t>
  </si>
  <si>
    <t>SY060003</t>
  </si>
  <si>
    <t>عين البيضا</t>
  </si>
  <si>
    <t>SY060005</t>
  </si>
  <si>
    <t>كسب</t>
  </si>
  <si>
    <t>SY060006</t>
  </si>
  <si>
    <t>هنادي</t>
  </si>
  <si>
    <t>SY060004</t>
  </si>
  <si>
    <t>قسطل معاف</t>
  </si>
  <si>
    <t>SY060000</t>
  </si>
  <si>
    <t>مركز اللاذقية</t>
  </si>
  <si>
    <t>ملخص توزيع السلل الصحية في المحافظات السورية</t>
  </si>
  <si>
    <t>Grand Total</t>
  </si>
  <si>
    <t>Average of التغطية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</si>
</sst>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6" x14ac:knownFonts="1">
    <font>
      <sz val="11"/>
      <color theme="1"/>
      <name val="Calibri"/>
      <family val="2"/>
      <scheme val="minor"/>
    </font>
    <font>
      <sz val="11"/>
      <color theme="1"/>
      <name val="Calibri"/>
      <family val="2"/>
      <scheme val="minor"/>
    </font>
    <font>
      <sz val="11"/>
      <name val="Calibri"/>
      <family val="2"/>
    </font>
    <font>
      <b/>
      <sz val="11"/>
      <color theme="2"/>
      <name val="Calibri"/>
      <family val="2"/>
    </font>
    <font>
      <b/>
      <sz val="16"/>
      <color theme="1"/>
      <name val="Calibri"/>
      <family val="2"/>
      <scheme val="minor"/>
    </font>
    <font>
      <b/>
      <sz val="12"/>
      <color rgb="FFC00000"/>
      <name val="Calibri"/>
      <family val="2"/>
    </font>
  </fonts>
  <fills count="5">
    <fill>
      <patternFill patternType="none"/>
    </fill>
    <fill>
      <patternFill patternType="gray125"/>
    </fill>
    <fill>
      <patternFill patternType="solid">
        <fgColor theme="6" tint="0.59999389629810485"/>
        <bgColor indexed="64"/>
      </patternFill>
    </fill>
    <fill>
      <patternFill patternType="solid">
        <fgColor rgb="FFC000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2"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2" fillId="0" borderId="0" xfId="2"/>
    <xf numFmtId="14" fontId="2" fillId="0" borderId="0" xfId="2" applyNumberFormat="1"/>
    <xf numFmtId="0" fontId="1" fillId="0" borderId="0" xfId="3"/>
    <xf numFmtId="164" fontId="0" fillId="0" borderId="0" xfId="4" applyNumberFormat="1" applyFont="1" applyAlignment="1">
      <alignment horizontal="center" vertical="center"/>
    </xf>
    <xf numFmtId="0" fontId="1" fillId="0" borderId="0" xfId="3" applyAlignment="1">
      <alignment horizontal="center"/>
    </xf>
    <xf numFmtId="37" fontId="1" fillId="0" borderId="0" xfId="1" applyNumberFormat="1" applyAlignment="1">
      <alignment horizontal="center"/>
    </xf>
    <xf numFmtId="0" fontId="3" fillId="3" borderId="1" xfId="2" applyFont="1" applyFill="1" applyBorder="1"/>
    <xf numFmtId="0" fontId="3" fillId="3" borderId="1" xfId="2" applyFont="1" applyFill="1" applyBorder="1" applyAlignment="1">
      <alignment horizontal="center"/>
    </xf>
    <xf numFmtId="0" fontId="0" fillId="0" borderId="0" xfId="0" pivotButton="1"/>
    <xf numFmtId="164" fontId="0" fillId="0" borderId="0" xfId="0" applyNumberFormat="1"/>
    <xf numFmtId="9" fontId="0" fillId="0" borderId="0" xfId="0" applyNumberFormat="1"/>
    <xf numFmtId="9" fontId="0" fillId="0" borderId="0" xfId="5" applyFont="1"/>
    <xf numFmtId="0" fontId="4" fillId="4" borderId="0" xfId="0" applyFont="1" applyFill="1" applyAlignment="1">
      <alignment horizontal="center" vertical="center"/>
    </xf>
    <xf numFmtId="0" fontId="5" fillId="2" borderId="1" xfId="2" applyFont="1" applyFill="1" applyBorder="1" applyAlignment="1">
      <alignment horizontal="center" vertical="center"/>
    </xf>
  </cellXfs>
  <cellStyles count="6">
    <cellStyle name="Comma" xfId="1" builtinId="3"/>
    <cellStyle name="Normal" xfId="0" builtinId="0"/>
    <cellStyle name="Normal 3 2" xfId="2" xr:uid="{52FEAB3F-EFFE-4021-82C8-E93DA0EBB46E}"/>
    <cellStyle name="Normal 4 3" xfId="3" xr:uid="{C6BCBD39-04DF-4ACB-B409-33BC5CFA58DD}"/>
    <cellStyle name="Percent" xfId="5" builtinId="5"/>
    <cellStyle name="Percent 2" xfId="4" xr:uid="{AFF6B295-D4C0-4B1F-B34C-0356749863B4}"/>
  </cellStyles>
  <dxfs count="53">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rgb="FF9C0006"/>
      </font>
      <fill>
        <patternFill>
          <bgColor rgb="FFFFC7CE"/>
        </patternFill>
      </fill>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 الجداول المحورية 3.XLSX]ملخص التحليل!PivotTable1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'ملخص التحليل'!$C$4</c:f>
              <c:strCache>
                <c:ptCount val="1"/>
                <c:pt idx="0">
                  <c:v>Total</c:v>
                </c:pt>
              </c:strCache>
            </c:strRef>
          </c:tx>
          <c:spPr>
            <a:solidFill>
              <a:schemeClr val="accent1"/>
            </a:solidFill>
            <a:ln>
              <a:noFill/>
            </a:ln>
            <a:effectLst/>
          </c:spPr>
          <c:invertIfNegative val="0"/>
          <c:cat>
            <c:strRef>
              <c:f>'ملخص التحليل'!$A$5:$B$10</c:f>
              <c:strCache>
                <c:ptCount val="5"/>
                <c:pt idx="0">
                  <c:v>اللاذقية</c:v>
                </c:pt>
                <c:pt idx="1">
                  <c:v>حلب</c:v>
                </c:pt>
                <c:pt idx="2">
                  <c:v>حماة</c:v>
                </c:pt>
                <c:pt idx="3">
                  <c:v>حمص</c:v>
                </c:pt>
                <c:pt idx="4">
                  <c:v>درعا</c:v>
                </c:pt>
              </c:strCache>
            </c:strRef>
          </c:cat>
          <c:val>
            <c:numRef>
              <c:f>'ملخص التحليل'!$C$5:$C$10</c:f>
              <c:numCache>
                <c:formatCode>0.0%</c:formatCode>
                <c:ptCount val="5"/>
                <c:pt idx="0">
                  <c:v>0.98602743568144957</c:v>
                </c:pt>
                <c:pt idx="1">
                  <c:v>0.97938449957524132</c:v>
                </c:pt>
                <c:pt idx="2">
                  <c:v>0.97335916851931314</c:v>
                </c:pt>
                <c:pt idx="3">
                  <c:v>0.99111361873192749</c:v>
                </c:pt>
                <c:pt idx="4">
                  <c:v>0.98170773693561242</c:v>
                </c:pt>
              </c:numCache>
            </c:numRef>
          </c:val>
          <c:extLst>
            <c:ext xmlns:c16="http://schemas.microsoft.com/office/drawing/2014/chart" uri="{C3380CC4-5D6E-409C-BE32-E72D297353CC}">
              <c16:uniqueId val="{00000000-86D4-4891-B0AF-8936B6563E79}"/>
            </c:ext>
          </c:extLst>
        </c:ser>
        <c:dLbls>
          <c:showLegendKey val="0"/>
          <c:showVal val="0"/>
          <c:showCatName val="0"/>
          <c:showSerName val="0"/>
          <c:showPercent val="0"/>
          <c:showBubbleSize val="0"/>
        </c:dLbls>
        <c:gapWidth val="219"/>
        <c:overlap val="-27"/>
        <c:axId val="41978863"/>
        <c:axId val="41952463"/>
      </c:barChart>
      <c:catAx>
        <c:axId val="4197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52463"/>
        <c:crosses val="autoZero"/>
        <c:auto val="1"/>
        <c:lblAlgn val="ctr"/>
        <c:lblOffset val="100"/>
        <c:noMultiLvlLbl val="0"/>
      </c:catAx>
      <c:valAx>
        <c:axId val="419524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327660</xdr:colOff>
      <xdr:row>2</xdr:row>
      <xdr:rowOff>148590</xdr:rowOff>
    </xdr:from>
    <xdr:to>
      <xdr:col>10</xdr:col>
      <xdr:colOff>419100</xdr:colOff>
      <xdr:row>17</xdr:row>
      <xdr:rowOff>148590</xdr:rowOff>
    </xdr:to>
    <xdr:graphicFrame macro="">
      <xdr:nvGraphicFramePr>
        <xdr:cNvPr id="2" name="Chart 1">
          <a:extLst>
            <a:ext uri="{FF2B5EF4-FFF2-40B4-BE49-F238E27FC236}">
              <a16:creationId xmlns:a16="http://schemas.microsoft.com/office/drawing/2014/main" id="{428CF707-251D-CE05-368E-133DC87C6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527958</xdr:colOff>
      <xdr:row>3</xdr:row>
      <xdr:rowOff>1906</xdr:rowOff>
    </xdr:from>
    <xdr:to>
      <xdr:col>13</xdr:col>
      <xdr:colOff>367394</xdr:colOff>
      <xdr:row>6</xdr:row>
      <xdr:rowOff>68035</xdr:rowOff>
    </xdr:to>
    <mc:AlternateContent xmlns:mc="http://schemas.openxmlformats.org/markup-compatibility/2006" xmlns:a14="http://schemas.microsoft.com/office/drawing/2010/main">
      <mc:Choice Requires="a14">
        <xdr:graphicFrame macro="">
          <xdr:nvGraphicFramePr>
            <xdr:cNvPr id="3" name="النوع">
              <a:extLst>
                <a:ext uri="{FF2B5EF4-FFF2-40B4-BE49-F238E27FC236}">
                  <a16:creationId xmlns:a16="http://schemas.microsoft.com/office/drawing/2014/main" id="{4A883D0F-6E1D-6D75-7A55-709A1E4ED0FC}"/>
                </a:ext>
              </a:extLst>
            </xdr:cNvPr>
            <xdr:cNvGraphicFramePr/>
          </xdr:nvGraphicFramePr>
          <xdr:xfrm>
            <a:off x="0" y="0"/>
            <a:ext cx="0" cy="0"/>
          </xdr:xfrm>
          <a:graphic>
            <a:graphicData uri="http://schemas.microsoft.com/office/drawing/2010/slicer">
              <sle:slicer xmlns:sle="http://schemas.microsoft.com/office/drawing/2010/slicer" name="النوع"/>
            </a:graphicData>
          </a:graphic>
        </xdr:graphicFrame>
      </mc:Choice>
      <mc:Fallback xmlns="">
        <xdr:sp macro="" textlink="">
          <xdr:nvSpPr>
            <xdr:cNvPr id="0" name=""/>
            <xdr:cNvSpPr>
              <a:spLocks noTextEdit="1"/>
            </xdr:cNvSpPr>
          </xdr:nvSpPr>
          <xdr:spPr>
            <a:xfrm>
              <a:off x="7862208" y="552995"/>
              <a:ext cx="1758043"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521153</xdr:colOff>
      <xdr:row>7</xdr:row>
      <xdr:rowOff>8709</xdr:rowOff>
    </xdr:from>
    <xdr:to>
      <xdr:col>13</xdr:col>
      <xdr:colOff>431346</xdr:colOff>
      <xdr:row>10</xdr:row>
      <xdr:rowOff>74840</xdr:rowOff>
    </xdr:to>
    <mc:AlternateContent xmlns:mc="http://schemas.openxmlformats.org/markup-compatibility/2006" xmlns:a14="http://schemas.microsoft.com/office/drawing/2010/main">
      <mc:Choice Requires="a14">
        <xdr:graphicFrame macro="">
          <xdr:nvGraphicFramePr>
            <xdr:cNvPr id="4" name="نوع التغطية">
              <a:extLst>
                <a:ext uri="{FF2B5EF4-FFF2-40B4-BE49-F238E27FC236}">
                  <a16:creationId xmlns:a16="http://schemas.microsoft.com/office/drawing/2014/main" id="{5E5037AC-E1C8-0DE4-8C8C-55B2DC2D7438}"/>
                </a:ext>
              </a:extLst>
            </xdr:cNvPr>
            <xdr:cNvGraphicFramePr/>
          </xdr:nvGraphicFramePr>
          <xdr:xfrm>
            <a:off x="0" y="0"/>
            <a:ext cx="0" cy="0"/>
          </xdr:xfrm>
          <a:graphic>
            <a:graphicData uri="http://schemas.microsoft.com/office/drawing/2010/slicer">
              <sle:slicer xmlns:sle="http://schemas.microsoft.com/office/drawing/2010/slicer" name="نوع التغطية"/>
            </a:graphicData>
          </a:graphic>
        </xdr:graphicFrame>
      </mc:Choice>
      <mc:Fallback xmlns="">
        <xdr:sp macro="" textlink="">
          <xdr:nvSpPr>
            <xdr:cNvPr id="0" name=""/>
            <xdr:cNvSpPr>
              <a:spLocks noTextEdit="1"/>
            </xdr:cNvSpPr>
          </xdr:nvSpPr>
          <xdr:spPr>
            <a:xfrm>
              <a:off x="7855403" y="1294584"/>
              <a:ext cx="182880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528774</xdr:colOff>
      <xdr:row>11</xdr:row>
      <xdr:rowOff>8436</xdr:rowOff>
    </xdr:from>
    <xdr:to>
      <xdr:col>15</xdr:col>
      <xdr:colOff>299357</xdr:colOff>
      <xdr:row>16</xdr:row>
      <xdr:rowOff>136071</xdr:rowOff>
    </xdr:to>
    <mc:AlternateContent xmlns:mc="http://schemas.openxmlformats.org/markup-compatibility/2006" xmlns:tsle="http://schemas.microsoft.com/office/drawing/2012/timeslicer">
      <mc:Choice Requires="tsle">
        <xdr:graphicFrame macro="">
          <xdr:nvGraphicFramePr>
            <xdr:cNvPr id="5" name="التاريخ">
              <a:extLst>
                <a:ext uri="{FF2B5EF4-FFF2-40B4-BE49-F238E27FC236}">
                  <a16:creationId xmlns:a16="http://schemas.microsoft.com/office/drawing/2014/main" id="{32825285-D121-AA39-2466-1D1559B6B85F}"/>
                </a:ext>
              </a:extLst>
            </xdr:cNvPr>
            <xdr:cNvGraphicFramePr/>
          </xdr:nvGraphicFramePr>
          <xdr:xfrm>
            <a:off x="0" y="0"/>
            <a:ext cx="0" cy="0"/>
          </xdr:xfrm>
          <a:graphic>
            <a:graphicData uri="http://schemas.microsoft.com/office/drawing/2012/timeslicer">
              <tsle:timeslicer name="التاريخ"/>
            </a:graphicData>
          </a:graphic>
        </xdr:graphicFrame>
      </mc:Choice>
      <mc:Fallback xmlns="">
        <xdr:sp macro="" textlink="">
          <xdr:nvSpPr>
            <xdr:cNvPr id="0" name=""/>
            <xdr:cNvSpPr>
              <a:spLocks noTextEdit="1"/>
            </xdr:cNvSpPr>
          </xdr:nvSpPr>
          <xdr:spPr>
            <a:xfrm>
              <a:off x="7863024" y="2029097"/>
              <a:ext cx="2968262" cy="10461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7.145987384261" createdVersion="8" refreshedVersion="8" minRefreshableVersion="3" recordCount="125" xr:uid="{4EA79C87-394C-45F2-B853-2EF85EDF5942}">
  <cacheSource type="worksheet">
    <worksheetSource ref="A2:K127" sheet="توزيع سلل صحية"/>
  </cacheSource>
  <cacheFields count="11">
    <cacheField name="الكود" numFmtId="0">
      <sharedItems/>
    </cacheField>
    <cacheField name="المحافظة" numFmtId="0">
      <sharedItems count="6">
        <s v="حلب"/>
        <s v="مدينة دمشق"/>
        <s v="درعا"/>
        <s v="حماة"/>
        <s v="حمص"/>
        <s v="اللاذقية"/>
      </sharedItems>
    </cacheField>
    <cacheField name="المنطقة" numFmtId="0">
      <sharedItems count="123">
        <s v="اخترين"/>
        <s v="صوران"/>
        <s v="مركز اعزاز"/>
        <s v="مارع"/>
        <s v="تل رفعت"/>
        <s v="نبل"/>
        <s v="الراعي"/>
        <s v="عريمة"/>
        <s v="مركز الباب"/>
        <s v="تادف"/>
        <s v="رسم حرمل الامام"/>
        <s v="دير حافر"/>
        <s v="كويرس شرقي"/>
        <s v="مركز السفيرة"/>
        <s v="بنان"/>
        <s v="الحاجب"/>
        <s v="خناصر"/>
        <s v="تل الضمان"/>
        <s v="الحاضر"/>
        <s v="الزربة"/>
        <s v="دارة عزة"/>
        <s v="أتارب"/>
        <s v="حريتان"/>
        <s v="مركز جبل سمعان"/>
        <s v="مركز جرابلس"/>
        <s v="غندورة"/>
        <s v="بلبل"/>
        <s v="راجو"/>
        <s v="معبطلي"/>
        <s v="شيخ الحديد"/>
        <s v="جنديرس"/>
        <s v="شران"/>
        <s v="مركز عفرين"/>
        <s v="شيوخ تحتاني"/>
        <s v="مركز عين العرب"/>
        <s v="صرين"/>
        <s v="مركز منبج"/>
        <s v="أبو قلقل"/>
        <s v="الخفسة"/>
        <s v="مسكنة"/>
        <s v="مدينة دمشق"/>
        <s v="مركز ازرع"/>
        <s v="جاسم"/>
        <s v="الحراك"/>
        <s v="نوى"/>
        <s v="الشيخ مسكين"/>
        <s v="تسيل"/>
        <s v="مركز الصنمين"/>
        <s v="المسمية"/>
        <s v="غباغب"/>
        <s v="مركز درعا"/>
        <s v="بصرى الشام"/>
        <s v="خربة غزالة"/>
        <s v="الشجرة"/>
        <s v="داعل"/>
        <s v="مزيريب"/>
        <s v="الجيزة"/>
        <s v="المسيفرة"/>
        <s v="مركز السقيلبية"/>
        <s v="تلسلحب"/>
        <s v="الزيارة"/>
        <s v="شطحة"/>
        <s v="قلعة المضيق"/>
        <s v="مركز السلمية"/>
        <s v="بري شرقي"/>
        <s v="السعن"/>
        <s v="عقيربات"/>
        <s v="مركز محردة"/>
        <s v="كفرزيتا"/>
        <s v="كرناز"/>
        <s v="مركز حماة"/>
        <s v="حربنفسه"/>
        <s v="الحمراء"/>
        <s v="مركز مصياف"/>
        <s v="جب رملة"/>
        <s v="عوج"/>
        <s v="وادي العيون"/>
        <s v="عين حلاقيم"/>
        <s v="صبورة"/>
        <s v="مركز الرستن"/>
        <s v="تلبيسة"/>
        <s v="مركز القصير"/>
        <s v="المخرم"/>
        <s v="جب الجراح"/>
        <s v="مركز تدمر"/>
        <s v="السخنة"/>
        <s v="مركز تلكلخ"/>
        <s v="حديدة"/>
        <s v="الحواش"/>
        <s v="الناصرة"/>
        <s v="مركز حمص"/>
        <s v="تلدو"/>
        <s v="خربة تين نور"/>
        <s v="عين النسر"/>
        <s v="الفرقلس"/>
        <s v="الرقاما"/>
        <s v="مهين"/>
        <s v="صدد"/>
        <s v="القريتين"/>
        <s v="القبو"/>
        <s v="شين"/>
        <s v="حسياء"/>
        <s v="كنسبا"/>
        <s v="صلنفة"/>
        <s v="مزيرعة"/>
        <s v="عين التينة"/>
        <s v="مركزالحفة"/>
        <s v="الفاخورة"/>
        <s v="جوبة برغال"/>
        <s v="مركز القرداحة"/>
        <s v="حرف المسيترة"/>
        <s v="مركز جبلة"/>
        <s v="القطيلبية"/>
        <s v="عين شقاق"/>
        <s v="دالية"/>
        <s v="بيت ياشوط"/>
        <s v="ربيعة"/>
        <s v="البهلولية"/>
        <s v="عين البيضا"/>
        <s v="كسب"/>
        <s v="هنادي"/>
        <s v="قسطل معاف"/>
        <s v="مركز اللاذقية"/>
      </sharedItems>
    </cacheField>
    <cacheField name="التاريخ" numFmtId="14">
      <sharedItems containsSemiMixedTypes="0" containsNonDate="0" containsDate="1" containsString="0" minDate="2016-08-11T00:00:00" maxDate="2017-01-03T00:00:00" count="5">
        <d v="2016-08-11T00:00:00"/>
        <d v="2016-10-09T00:00:00"/>
        <d v="2017-01-02T00:00:00"/>
        <d v="2016-11-11T00:00:00"/>
        <d v="2016-12-11T00:00:00"/>
      </sharedItems>
    </cacheField>
    <cacheField name="المستهدفين" numFmtId="0">
      <sharedItems containsSemiMixedTypes="0" containsString="0" containsNumber="1" containsInteger="1" minValue="1501" maxValue="22756"/>
    </cacheField>
    <cacheField name="المستحقين" numFmtId="0">
      <sharedItems containsSemiMixedTypes="0" containsString="0" containsNumber="1" containsInteger="1" minValue="1415" maxValue="22558"/>
    </cacheField>
    <cacheField name="التغطية" numFmtId="164">
      <sharedItems containsSemiMixedTypes="0" containsString="0" containsNumber="1" minValue="0.82705428656185109" maxValue="0.9991879601559116"/>
    </cacheField>
    <cacheField name="نوع التغطية" numFmtId="164">
      <sharedItems count="2">
        <s v="High"/>
        <s v="low"/>
      </sharedItems>
    </cacheField>
    <cacheField name="النوع" numFmtId="0">
      <sharedItems count="4">
        <s v="B"/>
        <s v="D"/>
        <s v="A"/>
        <s v="C"/>
      </sharedItems>
    </cacheField>
    <cacheField name="تقييم النوع" numFmtId="37">
      <sharedItems containsSemiMixedTypes="0" containsString="0" containsNumber="1" containsInteger="1" minValue="1" maxValue="5"/>
    </cacheField>
    <cacheField name="المبلغ" numFmtId="37">
      <sharedItems containsSemiMixedTypes="0" containsString="0" containsNumber="1" containsInteger="1" minValue="1016" maxValue="2502"/>
    </cacheField>
  </cacheFields>
  <extLst>
    <ext xmlns:x14="http://schemas.microsoft.com/office/spreadsheetml/2009/9/main" uri="{725AE2AE-9491-48be-B2B4-4EB974FC3084}">
      <x14:pivotCacheDefinition pivotCacheId="1578978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SY020401"/>
    <x v="0"/>
    <x v="0"/>
    <x v="0"/>
    <n v="14681"/>
    <n v="14361"/>
    <n v="0.97820311967849605"/>
    <x v="0"/>
    <x v="0"/>
    <n v="4"/>
    <n v="1290"/>
  </r>
  <r>
    <s v="SY020405"/>
    <x v="0"/>
    <x v="1"/>
    <x v="0"/>
    <n v="16426"/>
    <n v="16103"/>
    <n v="0.98033605259953727"/>
    <x v="0"/>
    <x v="1"/>
    <n v="4"/>
    <n v="1040"/>
  </r>
  <r>
    <s v="SY020400"/>
    <x v="0"/>
    <x v="2"/>
    <x v="0"/>
    <n v="17867"/>
    <n v="17600"/>
    <n v="0.98505624895057931"/>
    <x v="0"/>
    <x v="1"/>
    <n v="4"/>
    <n v="1698"/>
  </r>
  <r>
    <s v="SY020403"/>
    <x v="0"/>
    <x v="3"/>
    <x v="0"/>
    <n v="3194"/>
    <n v="3016"/>
    <n v="0.94427050720100192"/>
    <x v="1"/>
    <x v="0"/>
    <n v="1"/>
    <n v="1016"/>
  </r>
  <r>
    <s v="SY020402"/>
    <x v="0"/>
    <x v="4"/>
    <x v="0"/>
    <n v="14863"/>
    <n v="14686"/>
    <n v="0.98809123326380943"/>
    <x v="0"/>
    <x v="1"/>
    <n v="3"/>
    <n v="1490"/>
  </r>
  <r>
    <s v="SY020404"/>
    <x v="0"/>
    <x v="5"/>
    <x v="0"/>
    <n v="3921"/>
    <n v="3765"/>
    <n v="0.96021423106350423"/>
    <x v="0"/>
    <x v="2"/>
    <n v="1"/>
    <n v="1073"/>
  </r>
  <r>
    <s v="SY020203"/>
    <x v="0"/>
    <x v="6"/>
    <x v="0"/>
    <n v="18504"/>
    <n v="18370"/>
    <n v="0.99275832252485952"/>
    <x v="0"/>
    <x v="0"/>
    <n v="1"/>
    <n v="1765"/>
  </r>
  <r>
    <s v="SY020206"/>
    <x v="0"/>
    <x v="7"/>
    <x v="0"/>
    <n v="7959"/>
    <n v="7771"/>
    <n v="0.97637894207815057"/>
    <x v="0"/>
    <x v="0"/>
    <n v="3"/>
    <n v="1942"/>
  </r>
  <r>
    <s v="SY020200"/>
    <x v="0"/>
    <x v="8"/>
    <x v="0"/>
    <n v="10633"/>
    <n v="10531"/>
    <n v="0.99040722279695292"/>
    <x v="0"/>
    <x v="1"/>
    <n v="1"/>
    <n v="1386"/>
  </r>
  <r>
    <s v="SY020201"/>
    <x v="0"/>
    <x v="9"/>
    <x v="0"/>
    <n v="6087"/>
    <n v="5714"/>
    <n v="0.93872186627238374"/>
    <x v="1"/>
    <x v="2"/>
    <n v="5"/>
    <n v="1675"/>
  </r>
  <r>
    <s v="SY020205"/>
    <x v="0"/>
    <x v="10"/>
    <x v="0"/>
    <n v="12948"/>
    <n v="12746"/>
    <n v="0.98439913500154463"/>
    <x v="0"/>
    <x v="0"/>
    <n v="3"/>
    <n v="1763"/>
  </r>
  <r>
    <s v="SY020202"/>
    <x v="0"/>
    <x v="11"/>
    <x v="0"/>
    <n v="12080"/>
    <n v="11503"/>
    <n v="0.9522350993377483"/>
    <x v="0"/>
    <x v="3"/>
    <n v="5"/>
    <n v="1746"/>
  </r>
  <r>
    <s v="SY020204"/>
    <x v="0"/>
    <x v="12"/>
    <x v="0"/>
    <n v="18678"/>
    <n v="18538"/>
    <n v="0.99250455080843769"/>
    <x v="0"/>
    <x v="2"/>
    <n v="4"/>
    <n v="1760"/>
  </r>
  <r>
    <s v="SY020700"/>
    <x v="0"/>
    <x v="13"/>
    <x v="0"/>
    <n v="10524"/>
    <n v="10025"/>
    <n v="0.95258456860509311"/>
    <x v="0"/>
    <x v="0"/>
    <n v="1"/>
    <n v="1752"/>
  </r>
  <r>
    <s v="SY020401"/>
    <x v="0"/>
    <x v="14"/>
    <x v="0"/>
    <n v="11227"/>
    <n v="10931"/>
    <n v="0.97363498708470653"/>
    <x v="0"/>
    <x v="0"/>
    <n v="4"/>
    <n v="1349"/>
  </r>
  <r>
    <s v="SY020703"/>
    <x v="0"/>
    <x v="15"/>
    <x v="0"/>
    <n v="19729"/>
    <n v="19598"/>
    <n v="0.99336002838461146"/>
    <x v="0"/>
    <x v="2"/>
    <n v="5"/>
    <n v="1391"/>
  </r>
  <r>
    <s v="SY020701"/>
    <x v="0"/>
    <x v="16"/>
    <x v="0"/>
    <n v="13503"/>
    <n v="13466"/>
    <n v="0.99725986817744205"/>
    <x v="0"/>
    <x v="2"/>
    <n v="1"/>
    <n v="2246"/>
  </r>
  <r>
    <s v="SY020002"/>
    <x v="0"/>
    <x v="17"/>
    <x v="0"/>
    <n v="15264"/>
    <n v="14882"/>
    <n v="0.97497379454926625"/>
    <x v="0"/>
    <x v="2"/>
    <n v="1"/>
    <n v="1473"/>
  </r>
  <r>
    <s v="SY020006"/>
    <x v="0"/>
    <x v="18"/>
    <x v="0"/>
    <n v="7974"/>
    <n v="7813"/>
    <n v="0.97980938048658139"/>
    <x v="0"/>
    <x v="1"/>
    <n v="5"/>
    <n v="1840"/>
  </r>
  <r>
    <s v="SY020005"/>
    <x v="0"/>
    <x v="19"/>
    <x v="0"/>
    <n v="10934"/>
    <n v="10746"/>
    <n v="0.98280592646789833"/>
    <x v="0"/>
    <x v="3"/>
    <n v="2"/>
    <n v="1912"/>
  </r>
  <r>
    <s v="SY020004"/>
    <x v="0"/>
    <x v="20"/>
    <x v="0"/>
    <n v="6871"/>
    <n v="6762"/>
    <n v="0.98413622471256001"/>
    <x v="0"/>
    <x v="0"/>
    <n v="2"/>
    <n v="2502"/>
  </r>
  <r>
    <s v="SY020001"/>
    <x v="0"/>
    <x v="21"/>
    <x v="0"/>
    <n v="7946"/>
    <n v="7710"/>
    <n v="0.97029952177196077"/>
    <x v="0"/>
    <x v="3"/>
    <n v="3"/>
    <n v="1835"/>
  </r>
  <r>
    <s v="SY020003"/>
    <x v="0"/>
    <x v="22"/>
    <x v="0"/>
    <n v="9188"/>
    <n v="8722"/>
    <n v="0.94928167174575528"/>
    <x v="1"/>
    <x v="3"/>
    <n v="1"/>
    <n v="2351"/>
  </r>
  <r>
    <s v="SY020000"/>
    <x v="0"/>
    <x v="23"/>
    <x v="0"/>
    <n v="11967"/>
    <n v="11883"/>
    <n v="0.99298069691652047"/>
    <x v="0"/>
    <x v="0"/>
    <n v="2"/>
    <n v="1624"/>
  </r>
  <r>
    <s v="SY020800"/>
    <x v="0"/>
    <x v="24"/>
    <x v="0"/>
    <n v="13024"/>
    <n v="12840"/>
    <n v="0.98587223587223582"/>
    <x v="0"/>
    <x v="2"/>
    <n v="3"/>
    <n v="1180"/>
  </r>
  <r>
    <s v="SY020801"/>
    <x v="0"/>
    <x v="25"/>
    <x v="0"/>
    <n v="11633"/>
    <n v="11501"/>
    <n v="0.98865296999914043"/>
    <x v="0"/>
    <x v="3"/>
    <n v="4"/>
    <n v="1165"/>
  </r>
  <r>
    <s v="SY020301"/>
    <x v="0"/>
    <x v="26"/>
    <x v="0"/>
    <n v="18938"/>
    <n v="18525"/>
    <n v="0.97819199493082687"/>
    <x v="0"/>
    <x v="3"/>
    <n v="5"/>
    <n v="2323"/>
  </r>
  <r>
    <s v="SY020303"/>
    <x v="0"/>
    <x v="27"/>
    <x v="0"/>
    <n v="4177"/>
    <n v="3783"/>
    <n v="0.90567392865693086"/>
    <x v="1"/>
    <x v="2"/>
    <n v="2"/>
    <n v="2284"/>
  </r>
  <r>
    <s v="SY020306"/>
    <x v="0"/>
    <x v="28"/>
    <x v="0"/>
    <n v="20288"/>
    <n v="19753"/>
    <n v="0.97362973186119872"/>
    <x v="0"/>
    <x v="1"/>
    <n v="4"/>
    <n v="1734"/>
  </r>
  <r>
    <s v="SY020305"/>
    <x v="0"/>
    <x v="29"/>
    <x v="0"/>
    <n v="4644"/>
    <n v="4622"/>
    <n v="0.99526270456503019"/>
    <x v="0"/>
    <x v="3"/>
    <n v="4"/>
    <n v="1510"/>
  </r>
  <r>
    <s v="SY020302"/>
    <x v="0"/>
    <x v="30"/>
    <x v="0"/>
    <n v="19679"/>
    <n v="19479"/>
    <n v="0.98983688195538388"/>
    <x v="0"/>
    <x v="3"/>
    <n v="3"/>
    <n v="1266"/>
  </r>
  <r>
    <s v="SY020304"/>
    <x v="0"/>
    <x v="31"/>
    <x v="0"/>
    <n v="1540"/>
    <n v="1444"/>
    <n v="0.93766233766233764"/>
    <x v="1"/>
    <x v="2"/>
    <n v="4"/>
    <n v="2047"/>
  </r>
  <r>
    <s v="SY020300"/>
    <x v="0"/>
    <x v="32"/>
    <x v="0"/>
    <n v="11479"/>
    <n v="11123"/>
    <n v="0.96898684554403691"/>
    <x v="0"/>
    <x v="1"/>
    <n v="3"/>
    <n v="1958"/>
  </r>
  <r>
    <s v="SY020601"/>
    <x v="0"/>
    <x v="33"/>
    <x v="0"/>
    <n v="11188"/>
    <n v="10900"/>
    <n v="0.97425813371469427"/>
    <x v="0"/>
    <x v="3"/>
    <n v="5"/>
    <n v="1969"/>
  </r>
  <r>
    <s v="SY020600"/>
    <x v="0"/>
    <x v="34"/>
    <x v="0"/>
    <n v="7426"/>
    <n v="6940"/>
    <n v="0.93455426878534875"/>
    <x v="1"/>
    <x v="2"/>
    <n v="2"/>
    <n v="1286"/>
  </r>
  <r>
    <s v="SY020602"/>
    <x v="0"/>
    <x v="35"/>
    <x v="0"/>
    <n v="19558"/>
    <n v="19249"/>
    <n v="0.98420083853154716"/>
    <x v="0"/>
    <x v="1"/>
    <n v="3"/>
    <n v="1991"/>
  </r>
  <r>
    <s v="SY020500"/>
    <x v="0"/>
    <x v="36"/>
    <x v="1"/>
    <n v="1501"/>
    <n v="1415"/>
    <n v="0.94270486342438375"/>
    <x v="1"/>
    <x v="1"/>
    <n v="1"/>
    <n v="1575"/>
  </r>
  <r>
    <s v="SY020501"/>
    <x v="0"/>
    <x v="37"/>
    <x v="1"/>
    <n v="13559"/>
    <n v="13543"/>
    <n v="0.99881997197433436"/>
    <x v="0"/>
    <x v="1"/>
    <n v="5"/>
    <n v="1467"/>
  </r>
  <r>
    <s v="SY020502"/>
    <x v="0"/>
    <x v="38"/>
    <x v="1"/>
    <n v="17383"/>
    <n v="17240"/>
    <n v="0.99177357188057302"/>
    <x v="0"/>
    <x v="3"/>
    <n v="3"/>
    <n v="1288"/>
  </r>
  <r>
    <s v="SY020503"/>
    <x v="0"/>
    <x v="39"/>
    <x v="1"/>
    <n v="18082"/>
    <n v="16249"/>
    <n v="0.89862847030195769"/>
    <x v="1"/>
    <x v="1"/>
    <n v="1"/>
    <n v="1198"/>
  </r>
  <r>
    <s v="SY010000"/>
    <x v="1"/>
    <x v="40"/>
    <x v="2"/>
    <n v="8961"/>
    <n v="8481"/>
    <n v="0.9464345497154335"/>
    <x v="1"/>
    <x v="2"/>
    <n v="5"/>
    <n v="2470"/>
  </r>
  <r>
    <s v="SY120300"/>
    <x v="2"/>
    <x v="41"/>
    <x v="3"/>
    <n v="19452"/>
    <n v="18370"/>
    <n v="0.94437589965042157"/>
    <x v="1"/>
    <x v="0"/>
    <n v="3"/>
    <n v="1461"/>
  </r>
  <r>
    <s v="SY120301"/>
    <x v="2"/>
    <x v="42"/>
    <x v="3"/>
    <n v="8878"/>
    <n v="8540"/>
    <n v="0.96192836224374856"/>
    <x v="0"/>
    <x v="0"/>
    <n v="3"/>
    <n v="1759"/>
  </r>
  <r>
    <s v="SY120302"/>
    <x v="2"/>
    <x v="43"/>
    <x v="3"/>
    <n v="13148"/>
    <n v="12821"/>
    <n v="0.97512929723151809"/>
    <x v="0"/>
    <x v="2"/>
    <n v="2"/>
    <n v="2237"/>
  </r>
  <r>
    <s v="SY120303"/>
    <x v="2"/>
    <x v="44"/>
    <x v="3"/>
    <n v="4104"/>
    <n v="3659"/>
    <n v="0.89156920077972712"/>
    <x v="1"/>
    <x v="3"/>
    <n v="1"/>
    <n v="2010"/>
  </r>
  <r>
    <s v="SY120301"/>
    <x v="2"/>
    <x v="45"/>
    <x v="3"/>
    <n v="12567"/>
    <n v="12502"/>
    <n v="0.99482772340256231"/>
    <x v="0"/>
    <x v="0"/>
    <n v="4"/>
    <n v="1066"/>
  </r>
  <r>
    <s v="SY120305"/>
    <x v="2"/>
    <x v="46"/>
    <x v="3"/>
    <n v="20834"/>
    <n v="20382"/>
    <n v="0.97830469424978406"/>
    <x v="0"/>
    <x v="1"/>
    <n v="5"/>
    <n v="1371"/>
  </r>
  <r>
    <s v="SY120200"/>
    <x v="2"/>
    <x v="47"/>
    <x v="3"/>
    <n v="3333"/>
    <n v="2981"/>
    <n v="0.89438943894389444"/>
    <x v="1"/>
    <x v="3"/>
    <n v="3"/>
    <n v="1378"/>
  </r>
  <r>
    <s v="SY120201"/>
    <x v="2"/>
    <x v="48"/>
    <x v="3"/>
    <n v="13285"/>
    <n v="13214"/>
    <n v="0.9946556266465939"/>
    <x v="0"/>
    <x v="3"/>
    <n v="5"/>
    <n v="1725"/>
  </r>
  <r>
    <s v="SY120202"/>
    <x v="2"/>
    <x v="49"/>
    <x v="3"/>
    <n v="4046"/>
    <n v="3966"/>
    <n v="0.98022738507167573"/>
    <x v="0"/>
    <x v="1"/>
    <n v="3"/>
    <n v="2256"/>
  </r>
  <r>
    <s v="SY120000"/>
    <x v="2"/>
    <x v="50"/>
    <x v="3"/>
    <n v="3525"/>
    <n v="3522"/>
    <n v="0.99914893617021272"/>
    <x v="0"/>
    <x v="0"/>
    <n v="1"/>
    <n v="2196"/>
  </r>
  <r>
    <s v="SY120001"/>
    <x v="2"/>
    <x v="51"/>
    <x v="3"/>
    <n v="16830"/>
    <n v="16559"/>
    <n v="0.9838978015448604"/>
    <x v="0"/>
    <x v="3"/>
    <n v="4"/>
    <n v="1344"/>
  </r>
  <r>
    <s v="SY120002"/>
    <x v="2"/>
    <x v="52"/>
    <x v="3"/>
    <n v="18488"/>
    <n v="18438"/>
    <n v="0.9972955430549546"/>
    <x v="0"/>
    <x v="2"/>
    <n v="2"/>
    <n v="1480"/>
  </r>
  <r>
    <s v="SY120003"/>
    <x v="2"/>
    <x v="53"/>
    <x v="3"/>
    <n v="18472"/>
    <n v="18457"/>
    <n v="0.9991879601559116"/>
    <x v="0"/>
    <x v="3"/>
    <n v="3"/>
    <n v="1551"/>
  </r>
  <r>
    <s v="SY120004"/>
    <x v="2"/>
    <x v="54"/>
    <x v="3"/>
    <n v="18286"/>
    <n v="17922"/>
    <n v="0.98009406103029639"/>
    <x v="0"/>
    <x v="1"/>
    <n v="5"/>
    <n v="1285"/>
  </r>
  <r>
    <s v="SY120005"/>
    <x v="2"/>
    <x v="55"/>
    <x v="3"/>
    <n v="1655"/>
    <n v="1558"/>
    <n v="0.94138972809667676"/>
    <x v="1"/>
    <x v="1"/>
    <n v="5"/>
    <n v="1667"/>
  </r>
  <r>
    <s v="SY120006"/>
    <x v="2"/>
    <x v="56"/>
    <x v="4"/>
    <n v="5400"/>
    <n v="5243"/>
    <n v="0.97092592592592597"/>
    <x v="0"/>
    <x v="0"/>
    <n v="2"/>
    <n v="2146"/>
  </r>
  <r>
    <s v="SY120007"/>
    <x v="2"/>
    <x v="57"/>
    <x v="4"/>
    <n v="19962"/>
    <n v="18776"/>
    <n v="0.94058711551948704"/>
    <x v="1"/>
    <x v="1"/>
    <n v="4"/>
    <n v="2266"/>
  </r>
  <r>
    <s v="SY050200"/>
    <x v="3"/>
    <x v="58"/>
    <x v="3"/>
    <n v="4782"/>
    <n v="4493"/>
    <n v="0.93956503554997906"/>
    <x v="1"/>
    <x v="0"/>
    <n v="3"/>
    <n v="2491"/>
  </r>
  <r>
    <s v="SY050201"/>
    <x v="3"/>
    <x v="59"/>
    <x v="3"/>
    <n v="22756"/>
    <n v="22558"/>
    <n v="0.99129899806644406"/>
    <x v="0"/>
    <x v="1"/>
    <n v="5"/>
    <n v="1504"/>
  </r>
  <r>
    <s v="SY050202"/>
    <x v="3"/>
    <x v="60"/>
    <x v="3"/>
    <n v="13359"/>
    <n v="12972"/>
    <n v="0.97103076577588143"/>
    <x v="0"/>
    <x v="1"/>
    <n v="4"/>
    <n v="1517"/>
  </r>
  <r>
    <s v="SY050203"/>
    <x v="3"/>
    <x v="61"/>
    <x v="3"/>
    <n v="10964"/>
    <n v="10925"/>
    <n v="0.99644290404961688"/>
    <x v="0"/>
    <x v="2"/>
    <n v="5"/>
    <n v="1635"/>
  </r>
  <r>
    <s v="SY050204"/>
    <x v="3"/>
    <x v="62"/>
    <x v="3"/>
    <n v="12302"/>
    <n v="11911"/>
    <n v="0.96821655015444641"/>
    <x v="0"/>
    <x v="0"/>
    <n v="5"/>
    <n v="1928"/>
  </r>
  <r>
    <s v="SY050300"/>
    <x v="3"/>
    <x v="63"/>
    <x v="3"/>
    <n v="20340"/>
    <n v="18828"/>
    <n v="0.92566371681415927"/>
    <x v="1"/>
    <x v="2"/>
    <n v="1"/>
    <n v="2413"/>
  </r>
  <r>
    <s v="SY050301"/>
    <x v="3"/>
    <x v="64"/>
    <x v="3"/>
    <n v="10858"/>
    <n v="10008"/>
    <n v="0.92171670657579663"/>
    <x v="1"/>
    <x v="2"/>
    <n v="1"/>
    <n v="1269"/>
  </r>
  <r>
    <s v="SY050302"/>
    <x v="3"/>
    <x v="65"/>
    <x v="3"/>
    <n v="18029"/>
    <n v="17870"/>
    <n v="0.99118087525653109"/>
    <x v="0"/>
    <x v="2"/>
    <n v="5"/>
    <n v="2244"/>
  </r>
  <r>
    <s v="SY050304"/>
    <x v="3"/>
    <x v="66"/>
    <x v="3"/>
    <n v="17900"/>
    <n v="17454"/>
    <n v="0.9750837988826816"/>
    <x v="0"/>
    <x v="0"/>
    <n v="2"/>
    <n v="1830"/>
  </r>
  <r>
    <s v="SY050500"/>
    <x v="3"/>
    <x v="67"/>
    <x v="3"/>
    <n v="3021"/>
    <n v="2869"/>
    <n v="0.94968553459119498"/>
    <x v="1"/>
    <x v="0"/>
    <n v="2"/>
    <n v="2211"/>
  </r>
  <r>
    <s v="SY050501"/>
    <x v="3"/>
    <x v="68"/>
    <x v="3"/>
    <n v="12190"/>
    <n v="10634"/>
    <n v="0.87235438884331418"/>
    <x v="1"/>
    <x v="0"/>
    <n v="1"/>
    <n v="1472"/>
  </r>
  <r>
    <s v="SY050502"/>
    <x v="3"/>
    <x v="69"/>
    <x v="3"/>
    <n v="9964"/>
    <n v="8480"/>
    <n v="0.85106382978723405"/>
    <x v="1"/>
    <x v="1"/>
    <n v="1"/>
    <n v="1161"/>
  </r>
  <r>
    <s v="SY050100"/>
    <x v="3"/>
    <x v="70"/>
    <x v="3"/>
    <n v="2244"/>
    <n v="2072"/>
    <n v="0.92335115864527628"/>
    <x v="1"/>
    <x v="0"/>
    <n v="5"/>
    <n v="1243"/>
  </r>
  <r>
    <s v="SY050101"/>
    <x v="3"/>
    <x v="1"/>
    <x v="3"/>
    <n v="4032"/>
    <n v="3606"/>
    <n v="0.89434523809523814"/>
    <x v="1"/>
    <x v="0"/>
    <n v="1"/>
    <n v="2243"/>
  </r>
  <r>
    <s v="SY050102"/>
    <x v="3"/>
    <x v="71"/>
    <x v="3"/>
    <n v="3371"/>
    <n v="2788"/>
    <n v="0.82705428656185109"/>
    <x v="1"/>
    <x v="3"/>
    <n v="5"/>
    <n v="2456"/>
  </r>
  <r>
    <s v="SY050103"/>
    <x v="3"/>
    <x v="72"/>
    <x v="3"/>
    <n v="15474"/>
    <n v="14975"/>
    <n v="0.96775235879539878"/>
    <x v="0"/>
    <x v="0"/>
    <n v="2"/>
    <n v="1386"/>
  </r>
  <r>
    <s v="SY050400"/>
    <x v="3"/>
    <x v="73"/>
    <x v="3"/>
    <n v="12757"/>
    <n v="12201"/>
    <n v="0.95641608528650934"/>
    <x v="0"/>
    <x v="3"/>
    <n v="1"/>
    <n v="1673"/>
  </r>
  <r>
    <s v="SY050401"/>
    <x v="3"/>
    <x v="74"/>
    <x v="3"/>
    <n v="4401"/>
    <n v="4306"/>
    <n v="0.97841399681890484"/>
    <x v="0"/>
    <x v="3"/>
    <n v="3"/>
    <n v="1940"/>
  </r>
  <r>
    <s v="SY050402"/>
    <x v="3"/>
    <x v="75"/>
    <x v="3"/>
    <n v="9480"/>
    <n v="9313"/>
    <n v="0.98238396624472579"/>
    <x v="0"/>
    <x v="0"/>
    <n v="3"/>
    <n v="1597"/>
  </r>
  <r>
    <s v="SY050404"/>
    <x v="3"/>
    <x v="76"/>
    <x v="3"/>
    <n v="21755"/>
    <n v="21357"/>
    <n v="0.98170535509078372"/>
    <x v="0"/>
    <x v="1"/>
    <n v="5"/>
    <n v="2071"/>
  </r>
  <r>
    <s v="SY050403"/>
    <x v="3"/>
    <x v="77"/>
    <x v="3"/>
    <n v="7509"/>
    <n v="7422"/>
    <n v="0.98841390331602075"/>
    <x v="0"/>
    <x v="1"/>
    <n v="3"/>
    <n v="1920"/>
  </r>
  <r>
    <s v="SY050303"/>
    <x v="3"/>
    <x v="78"/>
    <x v="2"/>
    <n v="2682"/>
    <n v="2614"/>
    <n v="0.97464578672632363"/>
    <x v="0"/>
    <x v="0"/>
    <n v="2"/>
    <n v="1181"/>
  </r>
  <r>
    <s v="SY040400"/>
    <x v="4"/>
    <x v="79"/>
    <x v="3"/>
    <n v="14179"/>
    <n v="14053"/>
    <n v="0.99111361873192749"/>
    <x v="0"/>
    <x v="0"/>
    <n v="1"/>
    <n v="1754"/>
  </r>
  <r>
    <s v="SY040401"/>
    <x v="4"/>
    <x v="80"/>
    <x v="3"/>
    <n v="21402"/>
    <n v="21259"/>
    <n v="0.99331838145967666"/>
    <x v="0"/>
    <x v="1"/>
    <n v="3"/>
    <n v="1260"/>
  </r>
  <r>
    <s v="SY040200"/>
    <x v="4"/>
    <x v="81"/>
    <x v="3"/>
    <n v="5865"/>
    <n v="5633"/>
    <n v="0.96044330775788578"/>
    <x v="0"/>
    <x v="2"/>
    <n v="1"/>
    <n v="1123"/>
  </r>
  <r>
    <s v="SY040600"/>
    <x v="4"/>
    <x v="82"/>
    <x v="3"/>
    <n v="20061"/>
    <n v="19841"/>
    <n v="0.98903344798364989"/>
    <x v="0"/>
    <x v="1"/>
    <n v="2"/>
    <n v="1214"/>
  </r>
  <r>
    <s v="SY040601"/>
    <x v="4"/>
    <x v="83"/>
    <x v="3"/>
    <n v="18291"/>
    <n v="17884"/>
    <n v="0.9777486195396643"/>
    <x v="0"/>
    <x v="2"/>
    <n v="5"/>
    <n v="1133"/>
  </r>
  <r>
    <s v="SY040500"/>
    <x v="4"/>
    <x v="84"/>
    <x v="3"/>
    <n v="5014"/>
    <n v="4754"/>
    <n v="0.94814519345831672"/>
    <x v="1"/>
    <x v="2"/>
    <n v="3"/>
    <n v="1583"/>
  </r>
  <r>
    <s v="SY040501"/>
    <x v="4"/>
    <x v="85"/>
    <x v="3"/>
    <n v="17991"/>
    <n v="17669"/>
    <n v="0.98210216219220725"/>
    <x v="0"/>
    <x v="2"/>
    <n v="2"/>
    <n v="2209"/>
  </r>
  <r>
    <s v="SY040300"/>
    <x v="4"/>
    <x v="86"/>
    <x v="3"/>
    <n v="19420"/>
    <n v="19081"/>
    <n v="0.98254376930998966"/>
    <x v="0"/>
    <x v="2"/>
    <n v="1"/>
    <n v="2371"/>
  </r>
  <r>
    <s v="SY040301"/>
    <x v="4"/>
    <x v="87"/>
    <x v="3"/>
    <n v="8064"/>
    <n v="7041"/>
    <n v="0.87313988095238093"/>
    <x v="1"/>
    <x v="2"/>
    <n v="1"/>
    <n v="1456"/>
  </r>
  <r>
    <s v="SY040304"/>
    <x v="4"/>
    <x v="88"/>
    <x v="3"/>
    <n v="14046"/>
    <n v="13559"/>
    <n v="0.96532820731880964"/>
    <x v="0"/>
    <x v="2"/>
    <n v="3"/>
    <n v="1193"/>
  </r>
  <r>
    <s v="SY040303"/>
    <x v="4"/>
    <x v="89"/>
    <x v="3"/>
    <n v="17279"/>
    <n v="15776"/>
    <n v="0.91301579952543555"/>
    <x v="1"/>
    <x v="3"/>
    <n v="5"/>
    <n v="1898"/>
  </r>
  <r>
    <s v="SY040100"/>
    <x v="4"/>
    <x v="90"/>
    <x v="3"/>
    <n v="8819"/>
    <n v="8710"/>
    <n v="0.98764032203197638"/>
    <x v="0"/>
    <x v="2"/>
    <n v="2"/>
    <n v="1194"/>
  </r>
  <r>
    <s v="SY040101"/>
    <x v="4"/>
    <x v="91"/>
    <x v="3"/>
    <n v="2910"/>
    <n v="2877"/>
    <n v="0.98865979381443303"/>
    <x v="0"/>
    <x v="1"/>
    <n v="5"/>
    <n v="1456"/>
  </r>
  <r>
    <s v="SY040102"/>
    <x v="4"/>
    <x v="92"/>
    <x v="3"/>
    <n v="17860"/>
    <n v="17727"/>
    <n v="0.99255319148936172"/>
    <x v="0"/>
    <x v="3"/>
    <n v="1"/>
    <n v="2158"/>
  </r>
  <r>
    <s v="SY040103"/>
    <x v="4"/>
    <x v="93"/>
    <x v="3"/>
    <n v="12942"/>
    <n v="12564"/>
    <n v="0.97079276773296241"/>
    <x v="0"/>
    <x v="1"/>
    <n v="4"/>
    <n v="1855"/>
  </r>
  <r>
    <s v="SY040104"/>
    <x v="4"/>
    <x v="94"/>
    <x v="3"/>
    <n v="19813"/>
    <n v="19608"/>
    <n v="0.98965325796194414"/>
    <x v="0"/>
    <x v="2"/>
    <n v="3"/>
    <n v="2328"/>
  </r>
  <r>
    <s v="SY040105"/>
    <x v="4"/>
    <x v="95"/>
    <x v="3"/>
    <n v="13976"/>
    <n v="13729"/>
    <n v="0.98232684602175158"/>
    <x v="0"/>
    <x v="3"/>
    <n v="2"/>
    <n v="2342"/>
  </r>
  <r>
    <s v="SY040107"/>
    <x v="4"/>
    <x v="96"/>
    <x v="3"/>
    <n v="19426"/>
    <n v="19286"/>
    <n v="0.99279316380109128"/>
    <x v="0"/>
    <x v="1"/>
    <n v="2"/>
    <n v="2297"/>
  </r>
  <r>
    <s v="SY040109"/>
    <x v="4"/>
    <x v="97"/>
    <x v="3"/>
    <n v="19952"/>
    <n v="19740"/>
    <n v="0.98937449879711303"/>
    <x v="0"/>
    <x v="2"/>
    <n v="3"/>
    <n v="1279"/>
  </r>
  <r>
    <s v="SY040106"/>
    <x v="4"/>
    <x v="98"/>
    <x v="3"/>
    <n v="17045"/>
    <n v="16737"/>
    <n v="0.98193018480492811"/>
    <x v="0"/>
    <x v="3"/>
    <n v="1"/>
    <n v="1383"/>
  </r>
  <r>
    <s v="SY040110"/>
    <x v="4"/>
    <x v="99"/>
    <x v="3"/>
    <n v="5878"/>
    <n v="5703"/>
    <n v="0.9702279686968357"/>
    <x v="0"/>
    <x v="3"/>
    <n v="3"/>
    <n v="2163"/>
  </r>
  <r>
    <s v="SY040111"/>
    <x v="4"/>
    <x v="100"/>
    <x v="3"/>
    <n v="19922"/>
    <n v="19163"/>
    <n v="0.9619014155205301"/>
    <x v="0"/>
    <x v="1"/>
    <n v="5"/>
    <n v="1284"/>
  </r>
  <r>
    <s v="SY040108"/>
    <x v="4"/>
    <x v="101"/>
    <x v="3"/>
    <n v="16287"/>
    <n v="16138"/>
    <n v="0.99085159943513235"/>
    <x v="0"/>
    <x v="3"/>
    <n v="1"/>
    <n v="2069"/>
  </r>
  <r>
    <s v="SY060303"/>
    <x v="5"/>
    <x v="102"/>
    <x v="0"/>
    <n v="20461"/>
    <n v="20246"/>
    <n v="0.9894922046820781"/>
    <x v="0"/>
    <x v="3"/>
    <n v="5"/>
    <n v="1430"/>
  </r>
  <r>
    <s v="SY060301"/>
    <x v="5"/>
    <x v="103"/>
    <x v="0"/>
    <n v="2942"/>
    <n v="2762"/>
    <n v="0.93881713120326304"/>
    <x v="1"/>
    <x v="0"/>
    <n v="3"/>
    <n v="1152"/>
  </r>
  <r>
    <s v="SY060304"/>
    <x v="5"/>
    <x v="104"/>
    <x v="0"/>
    <n v="3627"/>
    <n v="3240"/>
    <n v="0.89330024813895781"/>
    <x v="1"/>
    <x v="3"/>
    <n v="5"/>
    <n v="1688"/>
  </r>
  <r>
    <s v="SY060302"/>
    <x v="5"/>
    <x v="105"/>
    <x v="0"/>
    <n v="20956"/>
    <n v="20348"/>
    <n v="0.97098682954762361"/>
    <x v="0"/>
    <x v="3"/>
    <n v="3"/>
    <n v="1057"/>
  </r>
  <r>
    <s v="SY060300"/>
    <x v="5"/>
    <x v="106"/>
    <x v="0"/>
    <n v="19658"/>
    <n v="19241"/>
    <n v="0.97878726218333501"/>
    <x v="0"/>
    <x v="3"/>
    <n v="1"/>
    <n v="1531"/>
  </r>
  <r>
    <s v="SY060402"/>
    <x v="5"/>
    <x v="107"/>
    <x v="0"/>
    <n v="19593"/>
    <n v="19574"/>
    <n v="0.99903026591129485"/>
    <x v="0"/>
    <x v="2"/>
    <n v="5"/>
    <n v="2164"/>
  </r>
  <r>
    <s v="SY060403"/>
    <x v="5"/>
    <x v="108"/>
    <x v="0"/>
    <n v="21768"/>
    <n v="21343"/>
    <n v="0.98047592796765892"/>
    <x v="0"/>
    <x v="3"/>
    <n v="4"/>
    <n v="1304"/>
  </r>
  <r>
    <s v="SY060400"/>
    <x v="5"/>
    <x v="109"/>
    <x v="0"/>
    <n v="5345"/>
    <n v="5329"/>
    <n v="0.99700654817586531"/>
    <x v="0"/>
    <x v="0"/>
    <n v="2"/>
    <n v="2170"/>
  </r>
  <r>
    <s v="SY060401"/>
    <x v="5"/>
    <x v="110"/>
    <x v="0"/>
    <n v="9914"/>
    <n v="9713"/>
    <n v="0.97972564050837196"/>
    <x v="0"/>
    <x v="3"/>
    <n v="3"/>
    <n v="2053"/>
  </r>
  <r>
    <s v="SY060200"/>
    <x v="5"/>
    <x v="111"/>
    <x v="0"/>
    <n v="14795"/>
    <n v="14654"/>
    <n v="0.99046975329503206"/>
    <x v="0"/>
    <x v="3"/>
    <n v="2"/>
    <n v="2064"/>
  </r>
  <r>
    <s v="SY060202"/>
    <x v="5"/>
    <x v="112"/>
    <x v="0"/>
    <n v="3139"/>
    <n v="2748"/>
    <n v="0.87543803759158967"/>
    <x v="1"/>
    <x v="0"/>
    <n v="5"/>
    <n v="1925"/>
  </r>
  <r>
    <s v="SY060203"/>
    <x v="5"/>
    <x v="113"/>
    <x v="0"/>
    <n v="1887"/>
    <n v="1579"/>
    <n v="0.83677795442501324"/>
    <x v="1"/>
    <x v="0"/>
    <n v="1"/>
    <n v="2202"/>
  </r>
  <r>
    <s v="SY060204"/>
    <x v="5"/>
    <x v="114"/>
    <x v="0"/>
    <n v="19595"/>
    <n v="19215"/>
    <n v="0.98060729778004596"/>
    <x v="0"/>
    <x v="3"/>
    <n v="1"/>
    <n v="1496"/>
  </r>
  <r>
    <s v="SY060204"/>
    <x v="5"/>
    <x v="114"/>
    <x v="0"/>
    <n v="7679"/>
    <n v="7492"/>
    <n v="0.97564787081651261"/>
    <x v="0"/>
    <x v="1"/>
    <n v="2"/>
    <n v="1784"/>
  </r>
  <r>
    <s v="SY060205"/>
    <x v="5"/>
    <x v="115"/>
    <x v="0"/>
    <n v="17967"/>
    <n v="17604"/>
    <n v="0.97979629320420769"/>
    <x v="0"/>
    <x v="1"/>
    <n v="5"/>
    <n v="1638"/>
  </r>
  <r>
    <s v="SY060002"/>
    <x v="5"/>
    <x v="116"/>
    <x v="0"/>
    <n v="15116"/>
    <n v="14700"/>
    <n v="0.97247949192908179"/>
    <x v="0"/>
    <x v="0"/>
    <n v="4"/>
    <n v="1859"/>
  </r>
  <r>
    <s v="SY060001"/>
    <x v="5"/>
    <x v="117"/>
    <x v="0"/>
    <n v="19555"/>
    <n v="19332"/>
    <n v="0.98859626693940172"/>
    <x v="0"/>
    <x v="0"/>
    <n v="2"/>
    <n v="1774"/>
  </r>
  <r>
    <s v="SY060003"/>
    <x v="5"/>
    <x v="118"/>
    <x v="0"/>
    <n v="20443"/>
    <n v="20187"/>
    <n v="0.98747737611896491"/>
    <x v="0"/>
    <x v="1"/>
    <n v="3"/>
    <n v="2436"/>
  </r>
  <r>
    <s v="SY060005"/>
    <x v="5"/>
    <x v="119"/>
    <x v="0"/>
    <n v="5243"/>
    <n v="5089"/>
    <n v="0.97062750333778369"/>
    <x v="0"/>
    <x v="1"/>
    <n v="1"/>
    <n v="2364"/>
  </r>
  <r>
    <s v="SY060006"/>
    <x v="5"/>
    <x v="120"/>
    <x v="0"/>
    <n v="8975"/>
    <n v="8756"/>
    <n v="0.97559888579387188"/>
    <x v="0"/>
    <x v="2"/>
    <n v="2"/>
    <n v="1665"/>
  </r>
  <r>
    <s v="SY060004"/>
    <x v="5"/>
    <x v="121"/>
    <x v="0"/>
    <n v="4121"/>
    <n v="3643"/>
    <n v="0.88400873574375149"/>
    <x v="1"/>
    <x v="3"/>
    <n v="1"/>
    <n v="2342"/>
  </r>
  <r>
    <s v="SY060000"/>
    <x v="5"/>
    <x v="122"/>
    <x v="0"/>
    <n v="6880"/>
    <n v="6657"/>
    <n v="0.96758720930232556"/>
    <x v="0"/>
    <x v="3"/>
    <n v="1"/>
    <n v="22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0FDA9A-66D9-47CE-85DB-9D4971583519}"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
  <location ref="A4:C10" firstHeaderRow="1" firstDataRow="1" firstDataCol="2"/>
  <pivotFields count="11">
    <pivotField compact="0" outline="0" showAll="0"/>
    <pivotField axis="axisRow" compact="0" outline="0" showAll="0">
      <items count="7">
        <item sd="0" x="5"/>
        <item sd="0" x="0"/>
        <item sd="0" x="3"/>
        <item sd="0" x="4"/>
        <item sd="0" x="2"/>
        <item sd="0" x="1"/>
        <item t="default" sd="0"/>
      </items>
    </pivotField>
    <pivotField axis="axisRow" compact="0" outline="0" showAll="0">
      <items count="124">
        <item x="37"/>
        <item x="21"/>
        <item x="0"/>
        <item x="117"/>
        <item x="56"/>
        <item x="15"/>
        <item x="18"/>
        <item x="43"/>
        <item x="72"/>
        <item x="88"/>
        <item x="38"/>
        <item x="6"/>
        <item x="95"/>
        <item x="19"/>
        <item x="60"/>
        <item x="85"/>
        <item x="65"/>
        <item x="53"/>
        <item x="45"/>
        <item x="107"/>
        <item x="94"/>
        <item x="99"/>
        <item x="98"/>
        <item x="112"/>
        <item x="82"/>
        <item x="48"/>
        <item x="57"/>
        <item x="89"/>
        <item x="64"/>
        <item x="51"/>
        <item x="26"/>
        <item x="14"/>
        <item x="115"/>
        <item x="9"/>
        <item x="46"/>
        <item x="17"/>
        <item x="4"/>
        <item x="80"/>
        <item x="91"/>
        <item x="59"/>
        <item x="42"/>
        <item x="83"/>
        <item x="74"/>
        <item x="30"/>
        <item x="108"/>
        <item x="87"/>
        <item x="71"/>
        <item x="110"/>
        <item x="22"/>
        <item x="101"/>
        <item x="92"/>
        <item x="52"/>
        <item x="16"/>
        <item x="20"/>
        <item x="54"/>
        <item x="114"/>
        <item x="11"/>
        <item x="27"/>
        <item x="116"/>
        <item x="10"/>
        <item x="31"/>
        <item x="61"/>
        <item x="29"/>
        <item x="100"/>
        <item x="33"/>
        <item x="78"/>
        <item x="97"/>
        <item x="35"/>
        <item x="103"/>
        <item x="1"/>
        <item x="7"/>
        <item x="66"/>
        <item x="75"/>
        <item x="118"/>
        <item x="105"/>
        <item x="93"/>
        <item x="77"/>
        <item x="113"/>
        <item x="49"/>
        <item x="25"/>
        <item x="121"/>
        <item x="62"/>
        <item x="69"/>
        <item x="119"/>
        <item x="68"/>
        <item x="102"/>
        <item x="12"/>
        <item x="3"/>
        <item x="40"/>
        <item x="41"/>
        <item x="2"/>
        <item x="8"/>
        <item x="79"/>
        <item x="13"/>
        <item x="58"/>
        <item x="63"/>
        <item x="47"/>
        <item x="109"/>
        <item x="81"/>
        <item x="122"/>
        <item x="84"/>
        <item x="86"/>
        <item x="23"/>
        <item x="111"/>
        <item x="24"/>
        <item x="70"/>
        <item x="90"/>
        <item x="50"/>
        <item x="32"/>
        <item x="34"/>
        <item x="67"/>
        <item x="73"/>
        <item x="36"/>
        <item x="106"/>
        <item x="104"/>
        <item x="55"/>
        <item x="39"/>
        <item x="28"/>
        <item x="96"/>
        <item x="5"/>
        <item x="44"/>
        <item x="120"/>
        <item x="76"/>
        <item t="default"/>
      </items>
    </pivotField>
    <pivotField compact="0" numFmtId="14" outline="0" showAll="0">
      <items count="6">
        <item x="0"/>
        <item x="1"/>
        <item x="3"/>
        <item x="4"/>
        <item x="2"/>
        <item t="default"/>
      </items>
    </pivotField>
    <pivotField compact="0" outline="0" showAll="0"/>
    <pivotField compact="0" outline="0" showAll="0"/>
    <pivotField dataField="1" compact="0" numFmtId="164" outline="0" showAll="0"/>
    <pivotField compact="0" outline="0" showAll="0">
      <items count="3">
        <item x="0"/>
        <item h="1" x="1"/>
        <item t="default"/>
      </items>
    </pivotField>
    <pivotField compact="0" outline="0" showAll="0">
      <items count="5">
        <item h="1" x="2"/>
        <item x="0"/>
        <item h="1" x="3"/>
        <item h="1" x="1"/>
        <item t="default"/>
      </items>
    </pivotField>
    <pivotField compact="0" numFmtId="37" outline="0" showAll="0"/>
    <pivotField compact="0" numFmtId="37" outline="0" showAll="0"/>
  </pivotFields>
  <rowFields count="2">
    <field x="1"/>
    <field x="2"/>
  </rowFields>
  <rowItems count="6">
    <i>
      <x/>
    </i>
    <i>
      <x v="1"/>
    </i>
    <i>
      <x v="2"/>
    </i>
    <i>
      <x v="3"/>
    </i>
    <i>
      <x v="4"/>
    </i>
    <i t="grand">
      <x/>
    </i>
  </rowItems>
  <colItems count="1">
    <i/>
  </colItems>
  <dataFields count="1">
    <dataField name="Average of التغطية" fld="6" subtotal="average" baseField="2" baseItem="19" numFmtId="164"/>
  </dataFields>
  <formats count="1">
    <format dxfId="5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44" name="التاريخ">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نوع" xr10:uid="{FD3FE2A2-08BA-48CC-B206-A1F37D68329E}" sourceName="النوع">
  <pivotTables>
    <pivotTable tabId="2" name="PivotTable1"/>
  </pivotTables>
  <data>
    <tabular pivotCacheId="1578978420">
      <items count="4">
        <i x="2" nd="1"/>
        <i x="0" s="1" nd="1"/>
        <i x="3"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تغطية" xr10:uid="{57658307-F311-4DAD-B2D2-94B8BFB38968}" sourceName="نوع التغطية">
  <pivotTables>
    <pivotTable tabId="2" name="PivotTable1"/>
  </pivotTables>
  <data>
    <tabular pivotCacheId="157897842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نوع" xr10:uid="{40146183-3E61-45DD-BF78-473137F943C5}" cache="Slicer_النوع" caption="النوع" columnCount="4" style="SlicerStyleLight2" rowHeight="234950"/>
  <slicer name="نوع التغطية" xr10:uid="{6ADBED07-C16C-4400-8131-B9775120C9E6}" cache="Slicer_نوع_التغطية" caption="نوع التغطية" columnCount="2" style="SlicerStyleLight6" rowHeight="234950"/>
</slicers>
</file>

<file path=xl/theme/theme1.xml><?xml version="1.0" encoding="utf-8"?>
<a:theme xmlns:a="http://schemas.openxmlformats.org/drawingml/2006/main" name="Office Theme">
  <a:themeElements>
    <a:clrScheme name="QRC Color">
      <a:dk1>
        <a:sysClr val="windowText" lastClr="000000"/>
      </a:dk1>
      <a:lt1>
        <a:sysClr val="window" lastClr="FFFFFF"/>
      </a:lt1>
      <a:dk2>
        <a:srgbClr val="444D26"/>
      </a:dk2>
      <a:lt2>
        <a:srgbClr val="FEFAC9"/>
      </a:lt2>
      <a:accent1>
        <a:srgbClr val="1FAD9F"/>
      </a:accent1>
      <a:accent2>
        <a:srgbClr val="EE2B51"/>
      </a:accent2>
      <a:accent3>
        <a:srgbClr val="E7BC29"/>
      </a:accent3>
      <a:accent4>
        <a:srgbClr val="22B2DA"/>
      </a:accent4>
      <a:accent5>
        <a:srgbClr val="455D7A"/>
      </a:accent5>
      <a:accent6>
        <a:srgbClr val="03B089"/>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التاريخ" xr10:uid="{DC4555AA-9644-47CE-BDA4-4FF1DE365B1F}" sourceName="التاريخ">
  <pivotTables>
    <pivotTable tabId="2" name="PivotTable1"/>
  </pivotTables>
  <state minimalRefreshVersion="6" lastRefreshVersion="6" pivotCacheId="1578978420" filterType="dateBetween">
    <selection startDate="2016-01-01T00:00:00" endDate="2016-12-31T00:00:00"/>
    <bounds startDate="2016-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التاريخ" xr10:uid="{C14C57EC-7C6A-4520-9A7B-CC9CF447316F}" cache="NativeTimeline_التاريخ" caption="التاريخ" level="0" selectionLevel="0" scrollPosition="2016-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71E4-B2F6-4D83-8BDA-7A7E1425E9C7}">
  <sheetPr>
    <tabColor theme="7" tint="-0.249977111117893"/>
  </sheetPr>
  <dimension ref="A1:K127"/>
  <sheetViews>
    <sheetView topLeftCell="A17" zoomScale="145" zoomScaleNormal="145" workbookViewId="0">
      <selection activeCell="D9" sqref="D9"/>
    </sheetView>
  </sheetViews>
  <sheetFormatPr defaultRowHeight="14.4" x14ac:dyDescent="0.3"/>
  <cols>
    <col min="1" max="1" width="11.21875" customWidth="1"/>
    <col min="3" max="3" width="18.88671875" customWidth="1"/>
    <col min="4" max="4" width="12.77734375" customWidth="1"/>
    <col min="5" max="5" width="11.88671875" customWidth="1"/>
    <col min="13" max="13" width="14.88671875" bestFit="1" customWidth="1"/>
  </cols>
  <sheetData>
    <row r="1" spans="1:11" ht="20.25" customHeight="1" x14ac:dyDescent="0.3">
      <c r="A1" s="14" t="s">
        <v>0</v>
      </c>
      <c r="B1" s="14"/>
      <c r="C1" s="14"/>
      <c r="D1" s="14"/>
      <c r="E1" s="14"/>
      <c r="F1" s="14"/>
      <c r="G1" s="14"/>
      <c r="H1" s="14"/>
      <c r="I1" s="14"/>
      <c r="J1" s="14"/>
      <c r="K1" s="14"/>
    </row>
    <row r="2" spans="1:11" x14ac:dyDescent="0.3">
      <c r="A2" s="7" t="s">
        <v>1</v>
      </c>
      <c r="B2" s="7" t="s">
        <v>2</v>
      </c>
      <c r="C2" s="7" t="s">
        <v>3</v>
      </c>
      <c r="D2" s="7" t="s">
        <v>4</v>
      </c>
      <c r="E2" s="7" t="s">
        <v>5</v>
      </c>
      <c r="F2" s="7" t="s">
        <v>6</v>
      </c>
      <c r="G2" s="7" t="s">
        <v>7</v>
      </c>
      <c r="H2" s="7" t="s">
        <v>8</v>
      </c>
      <c r="I2" s="8" t="s">
        <v>9</v>
      </c>
      <c r="J2" s="8" t="s">
        <v>10</v>
      </c>
      <c r="K2" s="8" t="s">
        <v>11</v>
      </c>
    </row>
    <row r="3" spans="1:11" x14ac:dyDescent="0.3">
      <c r="A3" s="1" t="s">
        <v>12</v>
      </c>
      <c r="B3" s="1" t="s">
        <v>13</v>
      </c>
      <c r="C3" s="1" t="s">
        <v>14</v>
      </c>
      <c r="D3" s="2">
        <v>42593</v>
      </c>
      <c r="E3" s="3">
        <v>14681</v>
      </c>
      <c r="F3" s="3">
        <v>14361</v>
      </c>
      <c r="G3" s="4">
        <f t="shared" ref="G3:G66" si="0">F3/E3</f>
        <v>0.97820311967849605</v>
      </c>
      <c r="H3" s="4" t="str">
        <f>IF(G3&gt;=95%,"High","low")</f>
        <v>High</v>
      </c>
      <c r="I3" s="5" t="s">
        <v>15</v>
      </c>
      <c r="J3" s="6">
        <v>4</v>
      </c>
      <c r="K3" s="6">
        <v>1290</v>
      </c>
    </row>
    <row r="4" spans="1:11" x14ac:dyDescent="0.3">
      <c r="A4" s="1" t="s">
        <v>17</v>
      </c>
      <c r="B4" s="1" t="s">
        <v>13</v>
      </c>
      <c r="C4" s="1" t="s">
        <v>18</v>
      </c>
      <c r="D4" s="2">
        <v>42593</v>
      </c>
      <c r="E4" s="3">
        <v>16426</v>
      </c>
      <c r="F4" s="3">
        <v>16103</v>
      </c>
      <c r="G4" s="4">
        <f t="shared" si="0"/>
        <v>0.98033605259953727</v>
      </c>
      <c r="H4" s="4" t="str">
        <f t="shared" ref="H4:H67" si="1">IF(G4&gt;=95%,"High","low")</f>
        <v>High</v>
      </c>
      <c r="I4" s="5" t="s">
        <v>16</v>
      </c>
      <c r="J4" s="6">
        <v>4</v>
      </c>
      <c r="K4" s="6">
        <v>1040</v>
      </c>
    </row>
    <row r="5" spans="1:11" x14ac:dyDescent="0.3">
      <c r="A5" s="1" t="s">
        <v>19</v>
      </c>
      <c r="B5" s="1" t="s">
        <v>13</v>
      </c>
      <c r="C5" s="1" t="s">
        <v>20</v>
      </c>
      <c r="D5" s="2">
        <v>42593</v>
      </c>
      <c r="E5" s="3">
        <v>17867</v>
      </c>
      <c r="F5" s="3">
        <v>17600</v>
      </c>
      <c r="G5" s="4">
        <f t="shared" si="0"/>
        <v>0.98505624895057931</v>
      </c>
      <c r="H5" s="4" t="str">
        <f t="shared" si="1"/>
        <v>High</v>
      </c>
      <c r="I5" s="5" t="s">
        <v>16</v>
      </c>
      <c r="J5" s="6">
        <v>4</v>
      </c>
      <c r="K5" s="6">
        <v>1698</v>
      </c>
    </row>
    <row r="6" spans="1:11" x14ac:dyDescent="0.3">
      <c r="A6" s="1" t="s">
        <v>21</v>
      </c>
      <c r="B6" s="1" t="s">
        <v>13</v>
      </c>
      <c r="C6" s="1" t="s">
        <v>22</v>
      </c>
      <c r="D6" s="2">
        <v>42593</v>
      </c>
      <c r="E6" s="3">
        <v>3194</v>
      </c>
      <c r="F6" s="3">
        <v>3016</v>
      </c>
      <c r="G6" s="4">
        <f t="shared" si="0"/>
        <v>0.94427050720100192</v>
      </c>
      <c r="H6" s="4" t="str">
        <f t="shared" si="1"/>
        <v>low</v>
      </c>
      <c r="I6" s="5" t="s">
        <v>15</v>
      </c>
      <c r="J6" s="6">
        <v>1</v>
      </c>
      <c r="K6" s="6">
        <v>1016</v>
      </c>
    </row>
    <row r="7" spans="1:11" x14ac:dyDescent="0.3">
      <c r="A7" s="1" t="s">
        <v>23</v>
      </c>
      <c r="B7" s="1" t="s">
        <v>13</v>
      </c>
      <c r="C7" s="1" t="s">
        <v>24</v>
      </c>
      <c r="D7" s="2">
        <v>42593</v>
      </c>
      <c r="E7" s="3">
        <v>14863</v>
      </c>
      <c r="F7" s="3">
        <v>14686</v>
      </c>
      <c r="G7" s="4">
        <f t="shared" si="0"/>
        <v>0.98809123326380943</v>
      </c>
      <c r="H7" s="4" t="str">
        <f t="shared" si="1"/>
        <v>High</v>
      </c>
      <c r="I7" s="5" t="s">
        <v>16</v>
      </c>
      <c r="J7" s="6">
        <v>3</v>
      </c>
      <c r="K7" s="6">
        <v>1490</v>
      </c>
    </row>
    <row r="8" spans="1:11" x14ac:dyDescent="0.3">
      <c r="A8" s="1" t="s">
        <v>25</v>
      </c>
      <c r="B8" s="1" t="s">
        <v>13</v>
      </c>
      <c r="C8" s="1" t="s">
        <v>26</v>
      </c>
      <c r="D8" s="2">
        <v>42593</v>
      </c>
      <c r="E8" s="3">
        <v>3921</v>
      </c>
      <c r="F8" s="3">
        <v>3765</v>
      </c>
      <c r="G8" s="4">
        <f t="shared" si="0"/>
        <v>0.96021423106350423</v>
      </c>
      <c r="H8" s="4" t="str">
        <f t="shared" si="1"/>
        <v>High</v>
      </c>
      <c r="I8" s="5" t="s">
        <v>27</v>
      </c>
      <c r="J8" s="6">
        <v>1</v>
      </c>
      <c r="K8" s="6">
        <v>1073</v>
      </c>
    </row>
    <row r="9" spans="1:11" x14ac:dyDescent="0.3">
      <c r="A9" s="1" t="s">
        <v>28</v>
      </c>
      <c r="B9" s="1" t="s">
        <v>13</v>
      </c>
      <c r="C9" s="1" t="s">
        <v>29</v>
      </c>
      <c r="D9" s="2">
        <v>42593</v>
      </c>
      <c r="E9" s="3">
        <v>18504</v>
      </c>
      <c r="F9" s="3">
        <v>18370</v>
      </c>
      <c r="G9" s="4">
        <f t="shared" si="0"/>
        <v>0.99275832252485952</v>
      </c>
      <c r="H9" s="4" t="str">
        <f t="shared" si="1"/>
        <v>High</v>
      </c>
      <c r="I9" s="5" t="s">
        <v>15</v>
      </c>
      <c r="J9" s="6">
        <v>1</v>
      </c>
      <c r="K9" s="6">
        <v>1765</v>
      </c>
    </row>
    <row r="10" spans="1:11" x14ac:dyDescent="0.3">
      <c r="A10" s="1" t="s">
        <v>30</v>
      </c>
      <c r="B10" s="1" t="s">
        <v>13</v>
      </c>
      <c r="C10" s="1" t="s">
        <v>31</v>
      </c>
      <c r="D10" s="2">
        <v>42593</v>
      </c>
      <c r="E10" s="3">
        <v>7959</v>
      </c>
      <c r="F10" s="3">
        <v>7771</v>
      </c>
      <c r="G10" s="4">
        <f t="shared" si="0"/>
        <v>0.97637894207815057</v>
      </c>
      <c r="H10" s="4" t="str">
        <f t="shared" si="1"/>
        <v>High</v>
      </c>
      <c r="I10" s="5" t="s">
        <v>15</v>
      </c>
      <c r="J10" s="6">
        <v>3</v>
      </c>
      <c r="K10" s="6">
        <v>1942</v>
      </c>
    </row>
    <row r="11" spans="1:11" x14ac:dyDescent="0.3">
      <c r="A11" s="1" t="s">
        <v>32</v>
      </c>
      <c r="B11" s="1" t="s">
        <v>13</v>
      </c>
      <c r="C11" s="1" t="s">
        <v>33</v>
      </c>
      <c r="D11" s="2">
        <v>42593</v>
      </c>
      <c r="E11" s="3">
        <v>10633</v>
      </c>
      <c r="F11" s="3">
        <v>10531</v>
      </c>
      <c r="G11" s="4">
        <f t="shared" si="0"/>
        <v>0.99040722279695292</v>
      </c>
      <c r="H11" s="4" t="str">
        <f t="shared" si="1"/>
        <v>High</v>
      </c>
      <c r="I11" s="5" t="s">
        <v>16</v>
      </c>
      <c r="J11" s="6">
        <v>1</v>
      </c>
      <c r="K11" s="6">
        <v>1386</v>
      </c>
    </row>
    <row r="12" spans="1:11" x14ac:dyDescent="0.3">
      <c r="A12" s="1" t="s">
        <v>34</v>
      </c>
      <c r="B12" s="1" t="s">
        <v>13</v>
      </c>
      <c r="C12" s="1" t="s">
        <v>35</v>
      </c>
      <c r="D12" s="2">
        <v>42593</v>
      </c>
      <c r="E12" s="3">
        <v>6087</v>
      </c>
      <c r="F12" s="3">
        <v>5714</v>
      </c>
      <c r="G12" s="4">
        <f t="shared" si="0"/>
        <v>0.93872186627238374</v>
      </c>
      <c r="H12" s="4" t="str">
        <f t="shared" si="1"/>
        <v>low</v>
      </c>
      <c r="I12" s="5" t="s">
        <v>27</v>
      </c>
      <c r="J12" s="6">
        <v>5</v>
      </c>
      <c r="K12" s="6">
        <v>1675</v>
      </c>
    </row>
    <row r="13" spans="1:11" x14ac:dyDescent="0.3">
      <c r="A13" s="1" t="s">
        <v>36</v>
      </c>
      <c r="B13" s="1" t="s">
        <v>13</v>
      </c>
      <c r="C13" s="1" t="s">
        <v>37</v>
      </c>
      <c r="D13" s="2">
        <v>42593</v>
      </c>
      <c r="E13" s="3">
        <v>12948</v>
      </c>
      <c r="F13" s="3">
        <v>12746</v>
      </c>
      <c r="G13" s="4">
        <f t="shared" si="0"/>
        <v>0.98439913500154463</v>
      </c>
      <c r="H13" s="4" t="str">
        <f t="shared" si="1"/>
        <v>High</v>
      </c>
      <c r="I13" s="5" t="s">
        <v>15</v>
      </c>
      <c r="J13" s="6">
        <v>3</v>
      </c>
      <c r="K13" s="6">
        <v>1763</v>
      </c>
    </row>
    <row r="14" spans="1:11" x14ac:dyDescent="0.3">
      <c r="A14" s="1" t="s">
        <v>38</v>
      </c>
      <c r="B14" s="1" t="s">
        <v>13</v>
      </c>
      <c r="C14" s="1" t="s">
        <v>39</v>
      </c>
      <c r="D14" s="2">
        <v>42593</v>
      </c>
      <c r="E14" s="3">
        <v>12080</v>
      </c>
      <c r="F14" s="3">
        <v>11503</v>
      </c>
      <c r="G14" s="4">
        <f t="shared" si="0"/>
        <v>0.9522350993377483</v>
      </c>
      <c r="H14" s="4" t="str">
        <f t="shared" si="1"/>
        <v>High</v>
      </c>
      <c r="I14" s="5" t="s">
        <v>40</v>
      </c>
      <c r="J14" s="6">
        <v>5</v>
      </c>
      <c r="K14" s="6">
        <v>1746</v>
      </c>
    </row>
    <row r="15" spans="1:11" x14ac:dyDescent="0.3">
      <c r="A15" s="1" t="s">
        <v>41</v>
      </c>
      <c r="B15" s="1" t="s">
        <v>13</v>
      </c>
      <c r="C15" s="1" t="s">
        <v>42</v>
      </c>
      <c r="D15" s="2">
        <v>42593</v>
      </c>
      <c r="E15" s="3">
        <v>18678</v>
      </c>
      <c r="F15" s="3">
        <v>18538</v>
      </c>
      <c r="G15" s="4">
        <f t="shared" si="0"/>
        <v>0.99250455080843769</v>
      </c>
      <c r="H15" s="4" t="str">
        <f t="shared" si="1"/>
        <v>High</v>
      </c>
      <c r="I15" s="5" t="s">
        <v>27</v>
      </c>
      <c r="J15" s="6">
        <v>4</v>
      </c>
      <c r="K15" s="6">
        <v>1760</v>
      </c>
    </row>
    <row r="16" spans="1:11" x14ac:dyDescent="0.3">
      <c r="A16" s="1" t="s">
        <v>43</v>
      </c>
      <c r="B16" s="1" t="s">
        <v>13</v>
      </c>
      <c r="C16" s="1" t="s">
        <v>44</v>
      </c>
      <c r="D16" s="2">
        <v>42593</v>
      </c>
      <c r="E16" s="3">
        <v>10524</v>
      </c>
      <c r="F16" s="3">
        <v>10025</v>
      </c>
      <c r="G16" s="4">
        <f t="shared" si="0"/>
        <v>0.95258456860509311</v>
      </c>
      <c r="H16" s="4" t="str">
        <f t="shared" si="1"/>
        <v>High</v>
      </c>
      <c r="I16" s="5" t="s">
        <v>15</v>
      </c>
      <c r="J16" s="6">
        <v>1</v>
      </c>
      <c r="K16" s="6">
        <v>1752</v>
      </c>
    </row>
    <row r="17" spans="1:11" x14ac:dyDescent="0.3">
      <c r="A17" s="1" t="s">
        <v>12</v>
      </c>
      <c r="B17" s="1" t="s">
        <v>13</v>
      </c>
      <c r="C17" s="1" t="s">
        <v>45</v>
      </c>
      <c r="D17" s="2">
        <v>42593</v>
      </c>
      <c r="E17" s="3">
        <v>11227</v>
      </c>
      <c r="F17" s="3">
        <v>10931</v>
      </c>
      <c r="G17" s="4">
        <f t="shared" si="0"/>
        <v>0.97363498708470653</v>
      </c>
      <c r="H17" s="4" t="str">
        <f t="shared" si="1"/>
        <v>High</v>
      </c>
      <c r="I17" s="5" t="s">
        <v>15</v>
      </c>
      <c r="J17" s="6">
        <v>4</v>
      </c>
      <c r="K17" s="6">
        <v>1349</v>
      </c>
    </row>
    <row r="18" spans="1:11" x14ac:dyDescent="0.3">
      <c r="A18" s="1" t="s">
        <v>46</v>
      </c>
      <c r="B18" s="1" t="s">
        <v>13</v>
      </c>
      <c r="C18" s="1" t="s">
        <v>47</v>
      </c>
      <c r="D18" s="2">
        <v>42593</v>
      </c>
      <c r="E18" s="3">
        <v>19729</v>
      </c>
      <c r="F18" s="3">
        <v>19598</v>
      </c>
      <c r="G18" s="4">
        <f t="shared" si="0"/>
        <v>0.99336002838461146</v>
      </c>
      <c r="H18" s="4" t="str">
        <f t="shared" si="1"/>
        <v>High</v>
      </c>
      <c r="I18" s="5" t="s">
        <v>27</v>
      </c>
      <c r="J18" s="6">
        <v>5</v>
      </c>
      <c r="K18" s="6">
        <v>1391</v>
      </c>
    </row>
    <row r="19" spans="1:11" x14ac:dyDescent="0.3">
      <c r="A19" s="1" t="s">
        <v>48</v>
      </c>
      <c r="B19" s="1" t="s">
        <v>13</v>
      </c>
      <c r="C19" s="1" t="s">
        <v>49</v>
      </c>
      <c r="D19" s="2">
        <v>42593</v>
      </c>
      <c r="E19" s="3">
        <v>13503</v>
      </c>
      <c r="F19" s="3">
        <v>13466</v>
      </c>
      <c r="G19" s="4">
        <f t="shared" si="0"/>
        <v>0.99725986817744205</v>
      </c>
      <c r="H19" s="4" t="str">
        <f t="shared" si="1"/>
        <v>High</v>
      </c>
      <c r="I19" s="5" t="s">
        <v>27</v>
      </c>
      <c r="J19" s="6">
        <v>1</v>
      </c>
      <c r="K19" s="6">
        <v>2246</v>
      </c>
    </row>
    <row r="20" spans="1:11" x14ac:dyDescent="0.3">
      <c r="A20" s="1" t="s">
        <v>50</v>
      </c>
      <c r="B20" s="1" t="s">
        <v>13</v>
      </c>
      <c r="C20" s="1" t="s">
        <v>51</v>
      </c>
      <c r="D20" s="2">
        <v>42593</v>
      </c>
      <c r="E20" s="3">
        <v>15264</v>
      </c>
      <c r="F20" s="3">
        <v>14882</v>
      </c>
      <c r="G20" s="4">
        <f t="shared" si="0"/>
        <v>0.97497379454926625</v>
      </c>
      <c r="H20" s="4" t="str">
        <f t="shared" si="1"/>
        <v>High</v>
      </c>
      <c r="I20" s="5" t="s">
        <v>27</v>
      </c>
      <c r="J20" s="6">
        <v>1</v>
      </c>
      <c r="K20" s="6">
        <v>1473</v>
      </c>
    </row>
    <row r="21" spans="1:11" x14ac:dyDescent="0.3">
      <c r="A21" s="1" t="s">
        <v>52</v>
      </c>
      <c r="B21" s="1" t="s">
        <v>13</v>
      </c>
      <c r="C21" s="1" t="s">
        <v>53</v>
      </c>
      <c r="D21" s="2">
        <v>42593</v>
      </c>
      <c r="E21" s="3">
        <v>7974</v>
      </c>
      <c r="F21" s="3">
        <v>7813</v>
      </c>
      <c r="G21" s="4">
        <f t="shared" si="0"/>
        <v>0.97980938048658139</v>
      </c>
      <c r="H21" s="4" t="str">
        <f t="shared" si="1"/>
        <v>High</v>
      </c>
      <c r="I21" s="5" t="s">
        <v>16</v>
      </c>
      <c r="J21" s="6">
        <v>5</v>
      </c>
      <c r="K21" s="6">
        <v>1840</v>
      </c>
    </row>
    <row r="22" spans="1:11" x14ac:dyDescent="0.3">
      <c r="A22" s="1" t="s">
        <v>54</v>
      </c>
      <c r="B22" s="1" t="s">
        <v>13</v>
      </c>
      <c r="C22" s="1" t="s">
        <v>55</v>
      </c>
      <c r="D22" s="2">
        <v>42593</v>
      </c>
      <c r="E22" s="3">
        <v>10934</v>
      </c>
      <c r="F22" s="3">
        <v>10746</v>
      </c>
      <c r="G22" s="4">
        <f t="shared" si="0"/>
        <v>0.98280592646789833</v>
      </c>
      <c r="H22" s="4" t="str">
        <f t="shared" si="1"/>
        <v>High</v>
      </c>
      <c r="I22" s="5" t="s">
        <v>40</v>
      </c>
      <c r="J22" s="6">
        <v>2</v>
      </c>
      <c r="K22" s="6">
        <v>1912</v>
      </c>
    </row>
    <row r="23" spans="1:11" x14ac:dyDescent="0.3">
      <c r="A23" s="1" t="s">
        <v>56</v>
      </c>
      <c r="B23" s="1" t="s">
        <v>13</v>
      </c>
      <c r="C23" s="1" t="s">
        <v>57</v>
      </c>
      <c r="D23" s="2">
        <v>42593</v>
      </c>
      <c r="E23" s="3">
        <v>6871</v>
      </c>
      <c r="F23" s="3">
        <v>6762</v>
      </c>
      <c r="G23" s="4">
        <f t="shared" si="0"/>
        <v>0.98413622471256001</v>
      </c>
      <c r="H23" s="4" t="str">
        <f t="shared" si="1"/>
        <v>High</v>
      </c>
      <c r="I23" s="5" t="s">
        <v>15</v>
      </c>
      <c r="J23" s="6">
        <v>2</v>
      </c>
      <c r="K23" s="6">
        <v>2502</v>
      </c>
    </row>
    <row r="24" spans="1:11" x14ac:dyDescent="0.3">
      <c r="A24" s="1" t="s">
        <v>58</v>
      </c>
      <c r="B24" s="1" t="s">
        <v>13</v>
      </c>
      <c r="C24" s="1" t="s">
        <v>59</v>
      </c>
      <c r="D24" s="2">
        <v>42593</v>
      </c>
      <c r="E24" s="3">
        <v>7946</v>
      </c>
      <c r="F24" s="3">
        <v>7710</v>
      </c>
      <c r="G24" s="4">
        <f t="shared" si="0"/>
        <v>0.97029952177196077</v>
      </c>
      <c r="H24" s="4" t="str">
        <f t="shared" si="1"/>
        <v>High</v>
      </c>
      <c r="I24" s="5" t="s">
        <v>40</v>
      </c>
      <c r="J24" s="6">
        <v>3</v>
      </c>
      <c r="K24" s="6">
        <v>1835</v>
      </c>
    </row>
    <row r="25" spans="1:11" x14ac:dyDescent="0.3">
      <c r="A25" s="1" t="s">
        <v>60</v>
      </c>
      <c r="B25" s="1" t="s">
        <v>13</v>
      </c>
      <c r="C25" s="1" t="s">
        <v>61</v>
      </c>
      <c r="D25" s="2">
        <v>42593</v>
      </c>
      <c r="E25" s="3">
        <v>9188</v>
      </c>
      <c r="F25" s="3">
        <v>8722</v>
      </c>
      <c r="G25" s="4">
        <f t="shared" si="0"/>
        <v>0.94928167174575528</v>
      </c>
      <c r="H25" s="4" t="str">
        <f t="shared" si="1"/>
        <v>low</v>
      </c>
      <c r="I25" s="5" t="s">
        <v>40</v>
      </c>
      <c r="J25" s="6">
        <v>1</v>
      </c>
      <c r="K25" s="6">
        <v>2351</v>
      </c>
    </row>
    <row r="26" spans="1:11" x14ac:dyDescent="0.3">
      <c r="A26" s="1" t="s">
        <v>62</v>
      </c>
      <c r="B26" s="1" t="s">
        <v>13</v>
      </c>
      <c r="C26" s="1" t="s">
        <v>63</v>
      </c>
      <c r="D26" s="2">
        <v>42593</v>
      </c>
      <c r="E26" s="3">
        <v>11967</v>
      </c>
      <c r="F26" s="3">
        <v>11883</v>
      </c>
      <c r="G26" s="4">
        <f t="shared" si="0"/>
        <v>0.99298069691652047</v>
      </c>
      <c r="H26" s="4" t="str">
        <f t="shared" si="1"/>
        <v>High</v>
      </c>
      <c r="I26" s="5" t="s">
        <v>15</v>
      </c>
      <c r="J26" s="6">
        <v>2</v>
      </c>
      <c r="K26" s="6">
        <v>1624</v>
      </c>
    </row>
    <row r="27" spans="1:11" x14ac:dyDescent="0.3">
      <c r="A27" s="1" t="s">
        <v>64</v>
      </c>
      <c r="B27" s="1" t="s">
        <v>13</v>
      </c>
      <c r="C27" s="1" t="s">
        <v>65</v>
      </c>
      <c r="D27" s="2">
        <v>42593</v>
      </c>
      <c r="E27" s="3">
        <v>13024</v>
      </c>
      <c r="F27" s="3">
        <v>12840</v>
      </c>
      <c r="G27" s="4">
        <f t="shared" si="0"/>
        <v>0.98587223587223582</v>
      </c>
      <c r="H27" s="4" t="str">
        <f t="shared" si="1"/>
        <v>High</v>
      </c>
      <c r="I27" s="5" t="s">
        <v>27</v>
      </c>
      <c r="J27" s="6">
        <v>3</v>
      </c>
      <c r="K27" s="6">
        <v>1180</v>
      </c>
    </row>
    <row r="28" spans="1:11" x14ac:dyDescent="0.3">
      <c r="A28" s="1" t="s">
        <v>66</v>
      </c>
      <c r="B28" s="1" t="s">
        <v>13</v>
      </c>
      <c r="C28" s="1" t="s">
        <v>67</v>
      </c>
      <c r="D28" s="2">
        <v>42593</v>
      </c>
      <c r="E28" s="3">
        <v>11633</v>
      </c>
      <c r="F28" s="3">
        <v>11501</v>
      </c>
      <c r="G28" s="4">
        <f t="shared" si="0"/>
        <v>0.98865296999914043</v>
      </c>
      <c r="H28" s="4" t="str">
        <f t="shared" si="1"/>
        <v>High</v>
      </c>
      <c r="I28" s="5" t="s">
        <v>40</v>
      </c>
      <c r="J28" s="6">
        <v>4</v>
      </c>
      <c r="K28" s="6">
        <v>1165</v>
      </c>
    </row>
    <row r="29" spans="1:11" x14ac:dyDescent="0.3">
      <c r="A29" s="1" t="s">
        <v>68</v>
      </c>
      <c r="B29" s="1" t="s">
        <v>13</v>
      </c>
      <c r="C29" s="1" t="s">
        <v>69</v>
      </c>
      <c r="D29" s="2">
        <v>42593</v>
      </c>
      <c r="E29" s="3">
        <v>18938</v>
      </c>
      <c r="F29" s="3">
        <v>18525</v>
      </c>
      <c r="G29" s="4">
        <f t="shared" si="0"/>
        <v>0.97819199493082687</v>
      </c>
      <c r="H29" s="4" t="str">
        <f t="shared" si="1"/>
        <v>High</v>
      </c>
      <c r="I29" s="5" t="s">
        <v>40</v>
      </c>
      <c r="J29" s="6">
        <v>5</v>
      </c>
      <c r="K29" s="6">
        <v>2323</v>
      </c>
    </row>
    <row r="30" spans="1:11" x14ac:dyDescent="0.3">
      <c r="A30" s="1" t="s">
        <v>70</v>
      </c>
      <c r="B30" s="1" t="s">
        <v>13</v>
      </c>
      <c r="C30" s="1" t="s">
        <v>71</v>
      </c>
      <c r="D30" s="2">
        <v>42593</v>
      </c>
      <c r="E30" s="3">
        <v>4177</v>
      </c>
      <c r="F30" s="3">
        <v>3783</v>
      </c>
      <c r="G30" s="4">
        <f t="shared" si="0"/>
        <v>0.90567392865693086</v>
      </c>
      <c r="H30" s="4" t="str">
        <f t="shared" si="1"/>
        <v>low</v>
      </c>
      <c r="I30" s="5" t="s">
        <v>27</v>
      </c>
      <c r="J30" s="6">
        <v>2</v>
      </c>
      <c r="K30" s="6">
        <v>2284</v>
      </c>
    </row>
    <row r="31" spans="1:11" x14ac:dyDescent="0.3">
      <c r="A31" s="1" t="s">
        <v>72</v>
      </c>
      <c r="B31" s="1" t="s">
        <v>13</v>
      </c>
      <c r="C31" s="1" t="s">
        <v>73</v>
      </c>
      <c r="D31" s="2">
        <v>42593</v>
      </c>
      <c r="E31" s="3">
        <v>20288</v>
      </c>
      <c r="F31" s="3">
        <v>19753</v>
      </c>
      <c r="G31" s="4">
        <f t="shared" si="0"/>
        <v>0.97362973186119872</v>
      </c>
      <c r="H31" s="4" t="str">
        <f t="shared" si="1"/>
        <v>High</v>
      </c>
      <c r="I31" s="5" t="s">
        <v>16</v>
      </c>
      <c r="J31" s="6">
        <v>4</v>
      </c>
      <c r="K31" s="6">
        <v>1734</v>
      </c>
    </row>
    <row r="32" spans="1:11" x14ac:dyDescent="0.3">
      <c r="A32" s="1" t="s">
        <v>74</v>
      </c>
      <c r="B32" s="1" t="s">
        <v>13</v>
      </c>
      <c r="C32" s="1" t="s">
        <v>75</v>
      </c>
      <c r="D32" s="2">
        <v>42593</v>
      </c>
      <c r="E32" s="3">
        <v>4644</v>
      </c>
      <c r="F32" s="3">
        <v>4622</v>
      </c>
      <c r="G32" s="4">
        <f t="shared" si="0"/>
        <v>0.99526270456503019</v>
      </c>
      <c r="H32" s="4" t="str">
        <f t="shared" si="1"/>
        <v>High</v>
      </c>
      <c r="I32" s="5" t="s">
        <v>40</v>
      </c>
      <c r="J32" s="6">
        <v>4</v>
      </c>
      <c r="K32" s="6">
        <v>1510</v>
      </c>
    </row>
    <row r="33" spans="1:11" x14ac:dyDescent="0.3">
      <c r="A33" s="1" t="s">
        <v>76</v>
      </c>
      <c r="B33" s="1" t="s">
        <v>13</v>
      </c>
      <c r="C33" s="1" t="s">
        <v>77</v>
      </c>
      <c r="D33" s="2">
        <v>42593</v>
      </c>
      <c r="E33" s="3">
        <v>19679</v>
      </c>
      <c r="F33" s="3">
        <v>19479</v>
      </c>
      <c r="G33" s="4">
        <f t="shared" si="0"/>
        <v>0.98983688195538388</v>
      </c>
      <c r="H33" s="4" t="str">
        <f t="shared" si="1"/>
        <v>High</v>
      </c>
      <c r="I33" s="5" t="s">
        <v>40</v>
      </c>
      <c r="J33" s="6">
        <v>3</v>
      </c>
      <c r="K33" s="6">
        <v>1266</v>
      </c>
    </row>
    <row r="34" spans="1:11" x14ac:dyDescent="0.3">
      <c r="A34" s="1" t="s">
        <v>78</v>
      </c>
      <c r="B34" s="1" t="s">
        <v>13</v>
      </c>
      <c r="C34" s="1" t="s">
        <v>79</v>
      </c>
      <c r="D34" s="2">
        <v>42593</v>
      </c>
      <c r="E34" s="3">
        <v>1540</v>
      </c>
      <c r="F34" s="3">
        <v>1444</v>
      </c>
      <c r="G34" s="4">
        <f t="shared" si="0"/>
        <v>0.93766233766233764</v>
      </c>
      <c r="H34" s="4" t="str">
        <f t="shared" si="1"/>
        <v>low</v>
      </c>
      <c r="I34" s="5" t="s">
        <v>27</v>
      </c>
      <c r="J34" s="6">
        <v>4</v>
      </c>
      <c r="K34" s="6">
        <v>2047</v>
      </c>
    </row>
    <row r="35" spans="1:11" x14ac:dyDescent="0.3">
      <c r="A35" s="1" t="s">
        <v>80</v>
      </c>
      <c r="B35" s="1" t="s">
        <v>13</v>
      </c>
      <c r="C35" s="1" t="s">
        <v>81</v>
      </c>
      <c r="D35" s="2">
        <v>42593</v>
      </c>
      <c r="E35" s="3">
        <v>11479</v>
      </c>
      <c r="F35" s="3">
        <v>11123</v>
      </c>
      <c r="G35" s="4">
        <f t="shared" si="0"/>
        <v>0.96898684554403691</v>
      </c>
      <c r="H35" s="4" t="str">
        <f t="shared" si="1"/>
        <v>High</v>
      </c>
      <c r="I35" s="5" t="s">
        <v>16</v>
      </c>
      <c r="J35" s="6">
        <v>3</v>
      </c>
      <c r="K35" s="6">
        <v>1958</v>
      </c>
    </row>
    <row r="36" spans="1:11" x14ac:dyDescent="0.3">
      <c r="A36" s="1" t="s">
        <v>82</v>
      </c>
      <c r="B36" s="1" t="s">
        <v>13</v>
      </c>
      <c r="C36" s="1" t="s">
        <v>83</v>
      </c>
      <c r="D36" s="2">
        <v>42593</v>
      </c>
      <c r="E36" s="3">
        <v>11188</v>
      </c>
      <c r="F36" s="3">
        <v>10900</v>
      </c>
      <c r="G36" s="4">
        <f t="shared" si="0"/>
        <v>0.97425813371469427</v>
      </c>
      <c r="H36" s="4" t="str">
        <f t="shared" si="1"/>
        <v>High</v>
      </c>
      <c r="I36" s="5" t="s">
        <v>40</v>
      </c>
      <c r="J36" s="6">
        <v>5</v>
      </c>
      <c r="K36" s="6">
        <v>1969</v>
      </c>
    </row>
    <row r="37" spans="1:11" x14ac:dyDescent="0.3">
      <c r="A37" s="1" t="s">
        <v>84</v>
      </c>
      <c r="B37" s="1" t="s">
        <v>13</v>
      </c>
      <c r="C37" s="1" t="s">
        <v>85</v>
      </c>
      <c r="D37" s="2">
        <v>42593</v>
      </c>
      <c r="E37" s="3">
        <v>7426</v>
      </c>
      <c r="F37" s="3">
        <v>6940</v>
      </c>
      <c r="G37" s="4">
        <f t="shared" si="0"/>
        <v>0.93455426878534875</v>
      </c>
      <c r="H37" s="4" t="str">
        <f t="shared" si="1"/>
        <v>low</v>
      </c>
      <c r="I37" s="5" t="s">
        <v>27</v>
      </c>
      <c r="J37" s="6">
        <v>2</v>
      </c>
      <c r="K37" s="6">
        <v>1286</v>
      </c>
    </row>
    <row r="38" spans="1:11" x14ac:dyDescent="0.3">
      <c r="A38" s="1" t="s">
        <v>86</v>
      </c>
      <c r="B38" s="1" t="s">
        <v>13</v>
      </c>
      <c r="C38" s="1" t="s">
        <v>87</v>
      </c>
      <c r="D38" s="2">
        <v>42593</v>
      </c>
      <c r="E38" s="3">
        <v>19558</v>
      </c>
      <c r="F38" s="3">
        <v>19249</v>
      </c>
      <c r="G38" s="4">
        <f t="shared" si="0"/>
        <v>0.98420083853154716</v>
      </c>
      <c r="H38" s="4" t="str">
        <f t="shared" si="1"/>
        <v>High</v>
      </c>
      <c r="I38" s="5" t="s">
        <v>16</v>
      </c>
      <c r="J38" s="6">
        <v>3</v>
      </c>
      <c r="K38" s="6">
        <v>1991</v>
      </c>
    </row>
    <row r="39" spans="1:11" x14ac:dyDescent="0.3">
      <c r="A39" s="1" t="s">
        <v>88</v>
      </c>
      <c r="B39" s="1" t="s">
        <v>13</v>
      </c>
      <c r="C39" s="1" t="s">
        <v>89</v>
      </c>
      <c r="D39" s="2">
        <v>42652</v>
      </c>
      <c r="E39" s="3">
        <v>1501</v>
      </c>
      <c r="F39" s="3">
        <v>1415</v>
      </c>
      <c r="G39" s="4">
        <f t="shared" si="0"/>
        <v>0.94270486342438375</v>
      </c>
      <c r="H39" s="4" t="str">
        <f t="shared" si="1"/>
        <v>low</v>
      </c>
      <c r="I39" s="5" t="s">
        <v>16</v>
      </c>
      <c r="J39" s="6">
        <v>1</v>
      </c>
      <c r="K39" s="6">
        <v>1575</v>
      </c>
    </row>
    <row r="40" spans="1:11" x14ac:dyDescent="0.3">
      <c r="A40" s="1" t="s">
        <v>90</v>
      </c>
      <c r="B40" s="1" t="s">
        <v>13</v>
      </c>
      <c r="C40" s="1" t="s">
        <v>91</v>
      </c>
      <c r="D40" s="2">
        <v>42652</v>
      </c>
      <c r="E40" s="3">
        <v>13559</v>
      </c>
      <c r="F40" s="3">
        <v>13543</v>
      </c>
      <c r="G40" s="4">
        <f t="shared" si="0"/>
        <v>0.99881997197433436</v>
      </c>
      <c r="H40" s="4" t="str">
        <f t="shared" si="1"/>
        <v>High</v>
      </c>
      <c r="I40" s="5" t="s">
        <v>16</v>
      </c>
      <c r="J40" s="6">
        <v>5</v>
      </c>
      <c r="K40" s="6">
        <v>1467</v>
      </c>
    </row>
    <row r="41" spans="1:11" x14ac:dyDescent="0.3">
      <c r="A41" s="1" t="s">
        <v>92</v>
      </c>
      <c r="B41" s="1" t="s">
        <v>13</v>
      </c>
      <c r="C41" s="1" t="s">
        <v>93</v>
      </c>
      <c r="D41" s="2">
        <v>42652</v>
      </c>
      <c r="E41" s="3">
        <v>17383</v>
      </c>
      <c r="F41" s="3">
        <v>17240</v>
      </c>
      <c r="G41" s="4">
        <f t="shared" si="0"/>
        <v>0.99177357188057302</v>
      </c>
      <c r="H41" s="4" t="str">
        <f t="shared" si="1"/>
        <v>High</v>
      </c>
      <c r="I41" s="5" t="s">
        <v>40</v>
      </c>
      <c r="J41" s="6">
        <v>3</v>
      </c>
      <c r="K41" s="6">
        <v>1288</v>
      </c>
    </row>
    <row r="42" spans="1:11" x14ac:dyDescent="0.3">
      <c r="A42" s="1" t="s">
        <v>94</v>
      </c>
      <c r="B42" s="1" t="s">
        <v>13</v>
      </c>
      <c r="C42" s="1" t="s">
        <v>95</v>
      </c>
      <c r="D42" s="2">
        <v>42652</v>
      </c>
      <c r="E42" s="3">
        <v>18082</v>
      </c>
      <c r="F42" s="3">
        <v>16249</v>
      </c>
      <c r="G42" s="4">
        <f t="shared" si="0"/>
        <v>0.89862847030195769</v>
      </c>
      <c r="H42" s="4" t="str">
        <f t="shared" si="1"/>
        <v>low</v>
      </c>
      <c r="I42" s="5" t="s">
        <v>16</v>
      </c>
      <c r="J42" s="6">
        <v>1</v>
      </c>
      <c r="K42" s="6">
        <v>1198</v>
      </c>
    </row>
    <row r="43" spans="1:11" x14ac:dyDescent="0.3">
      <c r="A43" s="1" t="s">
        <v>96</v>
      </c>
      <c r="B43" s="1" t="s">
        <v>97</v>
      </c>
      <c r="C43" s="1" t="s">
        <v>97</v>
      </c>
      <c r="D43" s="2">
        <v>42737</v>
      </c>
      <c r="E43" s="3">
        <v>8961</v>
      </c>
      <c r="F43" s="3">
        <v>8481</v>
      </c>
      <c r="G43" s="4">
        <f t="shared" si="0"/>
        <v>0.9464345497154335</v>
      </c>
      <c r="H43" s="4" t="str">
        <f t="shared" si="1"/>
        <v>low</v>
      </c>
      <c r="I43" s="5" t="s">
        <v>27</v>
      </c>
      <c r="J43" s="6">
        <v>5</v>
      </c>
      <c r="K43" s="6">
        <v>2470</v>
      </c>
    </row>
    <row r="44" spans="1:11" x14ac:dyDescent="0.3">
      <c r="A44" s="1" t="s">
        <v>98</v>
      </c>
      <c r="B44" s="1" t="s">
        <v>99</v>
      </c>
      <c r="C44" s="1" t="s">
        <v>100</v>
      </c>
      <c r="D44" s="2">
        <v>42685</v>
      </c>
      <c r="E44" s="3">
        <v>19452</v>
      </c>
      <c r="F44" s="3">
        <v>18370</v>
      </c>
      <c r="G44" s="4">
        <f t="shared" si="0"/>
        <v>0.94437589965042157</v>
      </c>
      <c r="H44" s="4" t="str">
        <f t="shared" si="1"/>
        <v>low</v>
      </c>
      <c r="I44" s="5" t="s">
        <v>15</v>
      </c>
      <c r="J44" s="6">
        <v>3</v>
      </c>
      <c r="K44" s="6">
        <v>1461</v>
      </c>
    </row>
    <row r="45" spans="1:11" x14ac:dyDescent="0.3">
      <c r="A45" s="1" t="s">
        <v>101</v>
      </c>
      <c r="B45" s="1" t="s">
        <v>99</v>
      </c>
      <c r="C45" s="1" t="s">
        <v>102</v>
      </c>
      <c r="D45" s="2">
        <v>42685</v>
      </c>
      <c r="E45" s="3">
        <v>8878</v>
      </c>
      <c r="F45" s="3">
        <v>8540</v>
      </c>
      <c r="G45" s="4">
        <f t="shared" si="0"/>
        <v>0.96192836224374856</v>
      </c>
      <c r="H45" s="4" t="str">
        <f t="shared" si="1"/>
        <v>High</v>
      </c>
      <c r="I45" s="5" t="s">
        <v>15</v>
      </c>
      <c r="J45" s="6">
        <v>3</v>
      </c>
      <c r="K45" s="6">
        <v>1759</v>
      </c>
    </row>
    <row r="46" spans="1:11" x14ac:dyDescent="0.3">
      <c r="A46" s="1" t="s">
        <v>103</v>
      </c>
      <c r="B46" s="1" t="s">
        <v>99</v>
      </c>
      <c r="C46" s="1" t="s">
        <v>104</v>
      </c>
      <c r="D46" s="2">
        <v>42685</v>
      </c>
      <c r="E46" s="3">
        <v>13148</v>
      </c>
      <c r="F46" s="3">
        <v>12821</v>
      </c>
      <c r="G46" s="4">
        <f t="shared" si="0"/>
        <v>0.97512929723151809</v>
      </c>
      <c r="H46" s="4" t="str">
        <f t="shared" si="1"/>
        <v>High</v>
      </c>
      <c r="I46" s="5" t="s">
        <v>27</v>
      </c>
      <c r="J46" s="6">
        <v>2</v>
      </c>
      <c r="K46" s="6">
        <v>2237</v>
      </c>
    </row>
    <row r="47" spans="1:11" x14ac:dyDescent="0.3">
      <c r="A47" s="1" t="s">
        <v>105</v>
      </c>
      <c r="B47" s="1" t="s">
        <v>99</v>
      </c>
      <c r="C47" s="1" t="s">
        <v>106</v>
      </c>
      <c r="D47" s="2">
        <v>42685</v>
      </c>
      <c r="E47" s="3">
        <v>4104</v>
      </c>
      <c r="F47" s="3">
        <v>3659</v>
      </c>
      <c r="G47" s="4">
        <f t="shared" si="0"/>
        <v>0.89156920077972712</v>
      </c>
      <c r="H47" s="4" t="str">
        <f t="shared" si="1"/>
        <v>low</v>
      </c>
      <c r="I47" s="5" t="s">
        <v>40</v>
      </c>
      <c r="J47" s="6">
        <v>1</v>
      </c>
      <c r="K47" s="6">
        <v>2010</v>
      </c>
    </row>
    <row r="48" spans="1:11" x14ac:dyDescent="0.3">
      <c r="A48" s="1" t="s">
        <v>101</v>
      </c>
      <c r="B48" s="1" t="s">
        <v>99</v>
      </c>
      <c r="C48" s="1" t="s">
        <v>107</v>
      </c>
      <c r="D48" s="2">
        <v>42685</v>
      </c>
      <c r="E48" s="3">
        <v>12567</v>
      </c>
      <c r="F48" s="3">
        <v>12502</v>
      </c>
      <c r="G48" s="4">
        <f t="shared" si="0"/>
        <v>0.99482772340256231</v>
      </c>
      <c r="H48" s="4" t="str">
        <f t="shared" si="1"/>
        <v>High</v>
      </c>
      <c r="I48" s="5" t="s">
        <v>15</v>
      </c>
      <c r="J48" s="6">
        <v>4</v>
      </c>
      <c r="K48" s="6">
        <v>1066</v>
      </c>
    </row>
    <row r="49" spans="1:11" x14ac:dyDescent="0.3">
      <c r="A49" s="1" t="s">
        <v>108</v>
      </c>
      <c r="B49" s="1" t="s">
        <v>99</v>
      </c>
      <c r="C49" s="1" t="s">
        <v>109</v>
      </c>
      <c r="D49" s="2">
        <v>42685</v>
      </c>
      <c r="E49" s="3">
        <v>20834</v>
      </c>
      <c r="F49" s="3">
        <v>20382</v>
      </c>
      <c r="G49" s="4">
        <f t="shared" si="0"/>
        <v>0.97830469424978406</v>
      </c>
      <c r="H49" s="4" t="str">
        <f t="shared" si="1"/>
        <v>High</v>
      </c>
      <c r="I49" s="5" t="s">
        <v>16</v>
      </c>
      <c r="J49" s="6">
        <v>5</v>
      </c>
      <c r="K49" s="6">
        <v>1371</v>
      </c>
    </row>
    <row r="50" spans="1:11" x14ac:dyDescent="0.3">
      <c r="A50" s="1" t="s">
        <v>110</v>
      </c>
      <c r="B50" s="1" t="s">
        <v>99</v>
      </c>
      <c r="C50" s="1" t="s">
        <v>111</v>
      </c>
      <c r="D50" s="2">
        <v>42685</v>
      </c>
      <c r="E50" s="3">
        <v>3333</v>
      </c>
      <c r="F50" s="3">
        <v>2981</v>
      </c>
      <c r="G50" s="4">
        <f t="shared" si="0"/>
        <v>0.89438943894389444</v>
      </c>
      <c r="H50" s="4" t="str">
        <f t="shared" si="1"/>
        <v>low</v>
      </c>
      <c r="I50" s="5" t="s">
        <v>40</v>
      </c>
      <c r="J50" s="6">
        <v>3</v>
      </c>
      <c r="K50" s="6">
        <v>1378</v>
      </c>
    </row>
    <row r="51" spans="1:11" x14ac:dyDescent="0.3">
      <c r="A51" s="1" t="s">
        <v>112</v>
      </c>
      <c r="B51" s="1" t="s">
        <v>99</v>
      </c>
      <c r="C51" s="1" t="s">
        <v>113</v>
      </c>
      <c r="D51" s="2">
        <v>42685</v>
      </c>
      <c r="E51" s="3">
        <v>13285</v>
      </c>
      <c r="F51" s="3">
        <v>13214</v>
      </c>
      <c r="G51" s="4">
        <f t="shared" si="0"/>
        <v>0.9946556266465939</v>
      </c>
      <c r="H51" s="4" t="str">
        <f t="shared" si="1"/>
        <v>High</v>
      </c>
      <c r="I51" s="5" t="s">
        <v>40</v>
      </c>
      <c r="J51" s="6">
        <v>5</v>
      </c>
      <c r="K51" s="6">
        <v>1725</v>
      </c>
    </row>
    <row r="52" spans="1:11" x14ac:dyDescent="0.3">
      <c r="A52" s="1" t="s">
        <v>114</v>
      </c>
      <c r="B52" s="1" t="s">
        <v>99</v>
      </c>
      <c r="C52" s="1" t="s">
        <v>115</v>
      </c>
      <c r="D52" s="2">
        <v>42685</v>
      </c>
      <c r="E52" s="3">
        <v>4046</v>
      </c>
      <c r="F52" s="3">
        <v>3966</v>
      </c>
      <c r="G52" s="4">
        <f t="shared" si="0"/>
        <v>0.98022738507167573</v>
      </c>
      <c r="H52" s="4" t="str">
        <f t="shared" si="1"/>
        <v>High</v>
      </c>
      <c r="I52" s="5" t="s">
        <v>16</v>
      </c>
      <c r="J52" s="6">
        <v>3</v>
      </c>
      <c r="K52" s="6">
        <v>2256</v>
      </c>
    </row>
    <row r="53" spans="1:11" x14ac:dyDescent="0.3">
      <c r="A53" s="1" t="s">
        <v>116</v>
      </c>
      <c r="B53" s="1" t="s">
        <v>99</v>
      </c>
      <c r="C53" s="1" t="s">
        <v>117</v>
      </c>
      <c r="D53" s="2">
        <v>42685</v>
      </c>
      <c r="E53" s="3">
        <v>3525</v>
      </c>
      <c r="F53" s="3">
        <v>3522</v>
      </c>
      <c r="G53" s="4">
        <f t="shared" si="0"/>
        <v>0.99914893617021272</v>
      </c>
      <c r="H53" s="4" t="str">
        <f t="shared" si="1"/>
        <v>High</v>
      </c>
      <c r="I53" s="5" t="s">
        <v>15</v>
      </c>
      <c r="J53" s="6">
        <v>1</v>
      </c>
      <c r="K53" s="6">
        <v>2196</v>
      </c>
    </row>
    <row r="54" spans="1:11" x14ac:dyDescent="0.3">
      <c r="A54" s="1" t="s">
        <v>118</v>
      </c>
      <c r="B54" s="1" t="s">
        <v>99</v>
      </c>
      <c r="C54" s="1" t="s">
        <v>119</v>
      </c>
      <c r="D54" s="2">
        <v>42685</v>
      </c>
      <c r="E54" s="3">
        <v>16830</v>
      </c>
      <c r="F54" s="3">
        <v>16559</v>
      </c>
      <c r="G54" s="4">
        <f t="shared" si="0"/>
        <v>0.9838978015448604</v>
      </c>
      <c r="H54" s="4" t="str">
        <f t="shared" si="1"/>
        <v>High</v>
      </c>
      <c r="I54" s="5" t="s">
        <v>40</v>
      </c>
      <c r="J54" s="6">
        <v>4</v>
      </c>
      <c r="K54" s="6">
        <v>1344</v>
      </c>
    </row>
    <row r="55" spans="1:11" x14ac:dyDescent="0.3">
      <c r="A55" s="1" t="s">
        <v>120</v>
      </c>
      <c r="B55" s="1" t="s">
        <v>99</v>
      </c>
      <c r="C55" s="1" t="s">
        <v>121</v>
      </c>
      <c r="D55" s="2">
        <v>42685</v>
      </c>
      <c r="E55" s="3">
        <v>18488</v>
      </c>
      <c r="F55" s="3">
        <v>18438</v>
      </c>
      <c r="G55" s="4">
        <f t="shared" si="0"/>
        <v>0.9972955430549546</v>
      </c>
      <c r="H55" s="4" t="str">
        <f t="shared" si="1"/>
        <v>High</v>
      </c>
      <c r="I55" s="5" t="s">
        <v>27</v>
      </c>
      <c r="J55" s="6">
        <v>2</v>
      </c>
      <c r="K55" s="6">
        <v>1480</v>
      </c>
    </row>
    <row r="56" spans="1:11" x14ac:dyDescent="0.3">
      <c r="A56" s="1" t="s">
        <v>122</v>
      </c>
      <c r="B56" s="1" t="s">
        <v>99</v>
      </c>
      <c r="C56" s="1" t="s">
        <v>123</v>
      </c>
      <c r="D56" s="2">
        <v>42685</v>
      </c>
      <c r="E56" s="3">
        <v>18472</v>
      </c>
      <c r="F56" s="3">
        <v>18457</v>
      </c>
      <c r="G56" s="4">
        <f t="shared" si="0"/>
        <v>0.9991879601559116</v>
      </c>
      <c r="H56" s="4" t="str">
        <f t="shared" si="1"/>
        <v>High</v>
      </c>
      <c r="I56" s="5" t="s">
        <v>40</v>
      </c>
      <c r="J56" s="6">
        <v>3</v>
      </c>
      <c r="K56" s="6">
        <v>1551</v>
      </c>
    </row>
    <row r="57" spans="1:11" x14ac:dyDescent="0.3">
      <c r="A57" s="1" t="s">
        <v>124</v>
      </c>
      <c r="B57" s="1" t="s">
        <v>99</v>
      </c>
      <c r="C57" s="1" t="s">
        <v>125</v>
      </c>
      <c r="D57" s="2">
        <v>42685</v>
      </c>
      <c r="E57" s="3">
        <v>18286</v>
      </c>
      <c r="F57" s="3">
        <v>17922</v>
      </c>
      <c r="G57" s="4">
        <f t="shared" si="0"/>
        <v>0.98009406103029639</v>
      </c>
      <c r="H57" s="4" t="str">
        <f t="shared" si="1"/>
        <v>High</v>
      </c>
      <c r="I57" s="5" t="s">
        <v>16</v>
      </c>
      <c r="J57" s="6">
        <v>5</v>
      </c>
      <c r="K57" s="6">
        <v>1285</v>
      </c>
    </row>
    <row r="58" spans="1:11" x14ac:dyDescent="0.3">
      <c r="A58" s="1" t="s">
        <v>126</v>
      </c>
      <c r="B58" s="1" t="s">
        <v>99</v>
      </c>
      <c r="C58" s="1" t="s">
        <v>127</v>
      </c>
      <c r="D58" s="2">
        <v>42685</v>
      </c>
      <c r="E58" s="3">
        <v>1655</v>
      </c>
      <c r="F58" s="3">
        <v>1558</v>
      </c>
      <c r="G58" s="4">
        <f t="shared" si="0"/>
        <v>0.94138972809667676</v>
      </c>
      <c r="H58" s="4" t="str">
        <f t="shared" si="1"/>
        <v>low</v>
      </c>
      <c r="I58" s="5" t="s">
        <v>16</v>
      </c>
      <c r="J58" s="6">
        <v>5</v>
      </c>
      <c r="K58" s="6">
        <v>1667</v>
      </c>
    </row>
    <row r="59" spans="1:11" x14ac:dyDescent="0.3">
      <c r="A59" s="1" t="s">
        <v>128</v>
      </c>
      <c r="B59" s="1" t="s">
        <v>99</v>
      </c>
      <c r="C59" s="1" t="s">
        <v>129</v>
      </c>
      <c r="D59" s="2">
        <v>42715</v>
      </c>
      <c r="E59" s="3">
        <v>5400</v>
      </c>
      <c r="F59" s="3">
        <v>5243</v>
      </c>
      <c r="G59" s="4">
        <f t="shared" si="0"/>
        <v>0.97092592592592597</v>
      </c>
      <c r="H59" s="4" t="str">
        <f t="shared" si="1"/>
        <v>High</v>
      </c>
      <c r="I59" s="5" t="s">
        <v>15</v>
      </c>
      <c r="J59" s="6">
        <v>2</v>
      </c>
      <c r="K59" s="6">
        <v>2146</v>
      </c>
    </row>
    <row r="60" spans="1:11" x14ac:dyDescent="0.3">
      <c r="A60" s="1" t="s">
        <v>130</v>
      </c>
      <c r="B60" s="1" t="s">
        <v>99</v>
      </c>
      <c r="C60" s="1" t="s">
        <v>131</v>
      </c>
      <c r="D60" s="2">
        <v>42715</v>
      </c>
      <c r="E60" s="3">
        <v>19962</v>
      </c>
      <c r="F60" s="3">
        <v>18776</v>
      </c>
      <c r="G60" s="4">
        <f t="shared" si="0"/>
        <v>0.94058711551948704</v>
      </c>
      <c r="H60" s="4" t="str">
        <f t="shared" si="1"/>
        <v>low</v>
      </c>
      <c r="I60" s="5" t="s">
        <v>16</v>
      </c>
      <c r="J60" s="6">
        <v>4</v>
      </c>
      <c r="K60" s="6">
        <v>2266</v>
      </c>
    </row>
    <row r="61" spans="1:11" x14ac:dyDescent="0.3">
      <c r="A61" s="1" t="s">
        <v>132</v>
      </c>
      <c r="B61" s="1" t="s">
        <v>133</v>
      </c>
      <c r="C61" s="1" t="s">
        <v>134</v>
      </c>
      <c r="D61" s="2">
        <v>42685</v>
      </c>
      <c r="E61" s="3">
        <v>4782</v>
      </c>
      <c r="F61" s="3">
        <v>4493</v>
      </c>
      <c r="G61" s="4">
        <f t="shared" si="0"/>
        <v>0.93956503554997906</v>
      </c>
      <c r="H61" s="4" t="str">
        <f t="shared" si="1"/>
        <v>low</v>
      </c>
      <c r="I61" s="5" t="s">
        <v>15</v>
      </c>
      <c r="J61" s="6">
        <v>3</v>
      </c>
      <c r="K61" s="6">
        <v>2491</v>
      </c>
    </row>
    <row r="62" spans="1:11" x14ac:dyDescent="0.3">
      <c r="A62" s="1" t="s">
        <v>135</v>
      </c>
      <c r="B62" s="1" t="s">
        <v>133</v>
      </c>
      <c r="C62" s="1" t="s">
        <v>136</v>
      </c>
      <c r="D62" s="2">
        <v>42685</v>
      </c>
      <c r="E62" s="3">
        <v>22756</v>
      </c>
      <c r="F62" s="3">
        <v>22558</v>
      </c>
      <c r="G62" s="4">
        <f t="shared" si="0"/>
        <v>0.99129899806644406</v>
      </c>
      <c r="H62" s="4" t="str">
        <f t="shared" si="1"/>
        <v>High</v>
      </c>
      <c r="I62" s="5" t="s">
        <v>16</v>
      </c>
      <c r="J62" s="6">
        <v>5</v>
      </c>
      <c r="K62" s="6">
        <v>1504</v>
      </c>
    </row>
    <row r="63" spans="1:11" x14ac:dyDescent="0.3">
      <c r="A63" s="1" t="s">
        <v>137</v>
      </c>
      <c r="B63" s="1" t="s">
        <v>133</v>
      </c>
      <c r="C63" s="1" t="s">
        <v>138</v>
      </c>
      <c r="D63" s="2">
        <v>42685</v>
      </c>
      <c r="E63" s="3">
        <v>13359</v>
      </c>
      <c r="F63" s="3">
        <v>12972</v>
      </c>
      <c r="G63" s="4">
        <f t="shared" si="0"/>
        <v>0.97103076577588143</v>
      </c>
      <c r="H63" s="4" t="str">
        <f t="shared" si="1"/>
        <v>High</v>
      </c>
      <c r="I63" s="5" t="s">
        <v>16</v>
      </c>
      <c r="J63" s="6">
        <v>4</v>
      </c>
      <c r="K63" s="6">
        <v>1517</v>
      </c>
    </row>
    <row r="64" spans="1:11" x14ac:dyDescent="0.3">
      <c r="A64" s="1" t="s">
        <v>139</v>
      </c>
      <c r="B64" s="1" t="s">
        <v>133</v>
      </c>
      <c r="C64" s="1" t="s">
        <v>140</v>
      </c>
      <c r="D64" s="2">
        <v>42685</v>
      </c>
      <c r="E64" s="3">
        <v>10964</v>
      </c>
      <c r="F64" s="3">
        <v>10925</v>
      </c>
      <c r="G64" s="4">
        <f t="shared" si="0"/>
        <v>0.99644290404961688</v>
      </c>
      <c r="H64" s="4" t="str">
        <f t="shared" si="1"/>
        <v>High</v>
      </c>
      <c r="I64" s="5" t="s">
        <v>27</v>
      </c>
      <c r="J64" s="6">
        <v>5</v>
      </c>
      <c r="K64" s="6">
        <v>1635</v>
      </c>
    </row>
    <row r="65" spans="1:11" x14ac:dyDescent="0.3">
      <c r="A65" s="1" t="s">
        <v>141</v>
      </c>
      <c r="B65" s="1" t="s">
        <v>133</v>
      </c>
      <c r="C65" s="1" t="s">
        <v>142</v>
      </c>
      <c r="D65" s="2">
        <v>42685</v>
      </c>
      <c r="E65" s="3">
        <v>12302</v>
      </c>
      <c r="F65" s="3">
        <v>11911</v>
      </c>
      <c r="G65" s="4">
        <f t="shared" si="0"/>
        <v>0.96821655015444641</v>
      </c>
      <c r="H65" s="4" t="str">
        <f t="shared" si="1"/>
        <v>High</v>
      </c>
      <c r="I65" s="5" t="s">
        <v>15</v>
      </c>
      <c r="J65" s="6">
        <v>5</v>
      </c>
      <c r="K65" s="6">
        <v>1928</v>
      </c>
    </row>
    <row r="66" spans="1:11" x14ac:dyDescent="0.3">
      <c r="A66" s="1" t="s">
        <v>143</v>
      </c>
      <c r="B66" s="1" t="s">
        <v>133</v>
      </c>
      <c r="C66" s="1" t="s">
        <v>144</v>
      </c>
      <c r="D66" s="2">
        <v>42685</v>
      </c>
      <c r="E66" s="3">
        <v>20340</v>
      </c>
      <c r="F66" s="3">
        <v>18828</v>
      </c>
      <c r="G66" s="4">
        <f t="shared" si="0"/>
        <v>0.92566371681415927</v>
      </c>
      <c r="H66" s="4" t="str">
        <f t="shared" si="1"/>
        <v>low</v>
      </c>
      <c r="I66" s="5" t="s">
        <v>27</v>
      </c>
      <c r="J66" s="6">
        <v>1</v>
      </c>
      <c r="K66" s="6">
        <v>2413</v>
      </c>
    </row>
    <row r="67" spans="1:11" x14ac:dyDescent="0.3">
      <c r="A67" s="1" t="s">
        <v>145</v>
      </c>
      <c r="B67" s="1" t="s">
        <v>133</v>
      </c>
      <c r="C67" s="1" t="s">
        <v>146</v>
      </c>
      <c r="D67" s="2">
        <v>42685</v>
      </c>
      <c r="E67" s="3">
        <v>10858</v>
      </c>
      <c r="F67" s="3">
        <v>10008</v>
      </c>
      <c r="G67" s="4">
        <f t="shared" ref="G67:G127" si="2">F67/E67</f>
        <v>0.92171670657579663</v>
      </c>
      <c r="H67" s="4" t="str">
        <f t="shared" si="1"/>
        <v>low</v>
      </c>
      <c r="I67" s="5" t="s">
        <v>27</v>
      </c>
      <c r="J67" s="6">
        <v>1</v>
      </c>
      <c r="K67" s="6">
        <v>1269</v>
      </c>
    </row>
    <row r="68" spans="1:11" x14ac:dyDescent="0.3">
      <c r="A68" s="1" t="s">
        <v>147</v>
      </c>
      <c r="B68" s="1" t="s">
        <v>133</v>
      </c>
      <c r="C68" s="1" t="s">
        <v>148</v>
      </c>
      <c r="D68" s="2">
        <v>42685</v>
      </c>
      <c r="E68" s="3">
        <v>18029</v>
      </c>
      <c r="F68" s="3">
        <v>17870</v>
      </c>
      <c r="G68" s="4">
        <f t="shared" si="2"/>
        <v>0.99118087525653109</v>
      </c>
      <c r="H68" s="4" t="str">
        <f t="shared" ref="H68:H127" si="3">IF(G68&gt;=95%,"High","low")</f>
        <v>High</v>
      </c>
      <c r="I68" s="5" t="s">
        <v>27</v>
      </c>
      <c r="J68" s="6">
        <v>5</v>
      </c>
      <c r="K68" s="6">
        <v>2244</v>
      </c>
    </row>
    <row r="69" spans="1:11" x14ac:dyDescent="0.3">
      <c r="A69" s="1" t="s">
        <v>149</v>
      </c>
      <c r="B69" s="1" t="s">
        <v>133</v>
      </c>
      <c r="C69" s="1" t="s">
        <v>150</v>
      </c>
      <c r="D69" s="2">
        <v>42685</v>
      </c>
      <c r="E69" s="3">
        <v>17900</v>
      </c>
      <c r="F69" s="3">
        <v>17454</v>
      </c>
      <c r="G69" s="4">
        <f t="shared" si="2"/>
        <v>0.9750837988826816</v>
      </c>
      <c r="H69" s="4" t="str">
        <f t="shared" si="3"/>
        <v>High</v>
      </c>
      <c r="I69" s="5" t="s">
        <v>15</v>
      </c>
      <c r="J69" s="6">
        <v>2</v>
      </c>
      <c r="K69" s="6">
        <v>1830</v>
      </c>
    </row>
    <row r="70" spans="1:11" x14ac:dyDescent="0.3">
      <c r="A70" s="1" t="s">
        <v>151</v>
      </c>
      <c r="B70" s="1" t="s">
        <v>133</v>
      </c>
      <c r="C70" s="1" t="s">
        <v>152</v>
      </c>
      <c r="D70" s="2">
        <v>42685</v>
      </c>
      <c r="E70" s="3">
        <v>3021</v>
      </c>
      <c r="F70" s="3">
        <v>2869</v>
      </c>
      <c r="G70" s="4">
        <f t="shared" si="2"/>
        <v>0.94968553459119498</v>
      </c>
      <c r="H70" s="4" t="str">
        <f t="shared" si="3"/>
        <v>low</v>
      </c>
      <c r="I70" s="5" t="s">
        <v>15</v>
      </c>
      <c r="J70" s="6">
        <v>2</v>
      </c>
      <c r="K70" s="6">
        <v>2211</v>
      </c>
    </row>
    <row r="71" spans="1:11" x14ac:dyDescent="0.3">
      <c r="A71" s="1" t="s">
        <v>153</v>
      </c>
      <c r="B71" s="1" t="s">
        <v>133</v>
      </c>
      <c r="C71" s="1" t="s">
        <v>154</v>
      </c>
      <c r="D71" s="2">
        <v>42685</v>
      </c>
      <c r="E71" s="3">
        <v>12190</v>
      </c>
      <c r="F71" s="3">
        <v>10634</v>
      </c>
      <c r="G71" s="4">
        <f t="shared" si="2"/>
        <v>0.87235438884331418</v>
      </c>
      <c r="H71" s="4" t="str">
        <f t="shared" si="3"/>
        <v>low</v>
      </c>
      <c r="I71" s="5" t="s">
        <v>15</v>
      </c>
      <c r="J71" s="6">
        <v>1</v>
      </c>
      <c r="K71" s="6">
        <v>1472</v>
      </c>
    </row>
    <row r="72" spans="1:11" x14ac:dyDescent="0.3">
      <c r="A72" s="1" t="s">
        <v>155</v>
      </c>
      <c r="B72" s="1" t="s">
        <v>133</v>
      </c>
      <c r="C72" s="1" t="s">
        <v>156</v>
      </c>
      <c r="D72" s="2">
        <v>42685</v>
      </c>
      <c r="E72" s="3">
        <v>9964</v>
      </c>
      <c r="F72" s="3">
        <v>8480</v>
      </c>
      <c r="G72" s="4">
        <f t="shared" si="2"/>
        <v>0.85106382978723405</v>
      </c>
      <c r="H72" s="4" t="str">
        <f t="shared" si="3"/>
        <v>low</v>
      </c>
      <c r="I72" s="5" t="s">
        <v>16</v>
      </c>
      <c r="J72" s="6">
        <v>1</v>
      </c>
      <c r="K72" s="6">
        <v>1161</v>
      </c>
    </row>
    <row r="73" spans="1:11" x14ac:dyDescent="0.3">
      <c r="A73" s="1" t="s">
        <v>157</v>
      </c>
      <c r="B73" s="1" t="s">
        <v>133</v>
      </c>
      <c r="C73" s="1" t="s">
        <v>158</v>
      </c>
      <c r="D73" s="2">
        <v>42685</v>
      </c>
      <c r="E73" s="3">
        <v>2244</v>
      </c>
      <c r="F73" s="3">
        <v>2072</v>
      </c>
      <c r="G73" s="4">
        <f t="shared" si="2"/>
        <v>0.92335115864527628</v>
      </c>
      <c r="H73" s="4" t="str">
        <f t="shared" si="3"/>
        <v>low</v>
      </c>
      <c r="I73" s="5" t="s">
        <v>15</v>
      </c>
      <c r="J73" s="6">
        <v>5</v>
      </c>
      <c r="K73" s="6">
        <v>1243</v>
      </c>
    </row>
    <row r="74" spans="1:11" x14ac:dyDescent="0.3">
      <c r="A74" s="1" t="s">
        <v>159</v>
      </c>
      <c r="B74" s="1" t="s">
        <v>133</v>
      </c>
      <c r="C74" s="1" t="s">
        <v>18</v>
      </c>
      <c r="D74" s="2">
        <v>42685</v>
      </c>
      <c r="E74" s="3">
        <v>4032</v>
      </c>
      <c r="F74" s="3">
        <v>3606</v>
      </c>
      <c r="G74" s="4">
        <f t="shared" si="2"/>
        <v>0.89434523809523814</v>
      </c>
      <c r="H74" s="4" t="str">
        <f t="shared" si="3"/>
        <v>low</v>
      </c>
      <c r="I74" s="5" t="s">
        <v>15</v>
      </c>
      <c r="J74" s="6">
        <v>1</v>
      </c>
      <c r="K74" s="6">
        <v>2243</v>
      </c>
    </row>
    <row r="75" spans="1:11" x14ac:dyDescent="0.3">
      <c r="A75" s="1" t="s">
        <v>160</v>
      </c>
      <c r="B75" s="1" t="s">
        <v>133</v>
      </c>
      <c r="C75" s="1" t="s">
        <v>161</v>
      </c>
      <c r="D75" s="2">
        <v>42685</v>
      </c>
      <c r="E75" s="3">
        <v>3371</v>
      </c>
      <c r="F75" s="3">
        <v>2788</v>
      </c>
      <c r="G75" s="4">
        <f t="shared" si="2"/>
        <v>0.82705428656185109</v>
      </c>
      <c r="H75" s="4" t="str">
        <f t="shared" si="3"/>
        <v>low</v>
      </c>
      <c r="I75" s="5" t="s">
        <v>40</v>
      </c>
      <c r="J75" s="6">
        <v>5</v>
      </c>
      <c r="K75" s="6">
        <v>2456</v>
      </c>
    </row>
    <row r="76" spans="1:11" x14ac:dyDescent="0.3">
      <c r="A76" s="1" t="s">
        <v>162</v>
      </c>
      <c r="B76" s="1" t="s">
        <v>133</v>
      </c>
      <c r="C76" s="1" t="s">
        <v>163</v>
      </c>
      <c r="D76" s="2">
        <v>42685</v>
      </c>
      <c r="E76" s="3">
        <v>15474</v>
      </c>
      <c r="F76" s="3">
        <v>14975</v>
      </c>
      <c r="G76" s="4">
        <f t="shared" si="2"/>
        <v>0.96775235879539878</v>
      </c>
      <c r="H76" s="4" t="str">
        <f t="shared" si="3"/>
        <v>High</v>
      </c>
      <c r="I76" s="5" t="s">
        <v>15</v>
      </c>
      <c r="J76" s="6">
        <v>2</v>
      </c>
      <c r="K76" s="6">
        <v>1386</v>
      </c>
    </row>
    <row r="77" spans="1:11" x14ac:dyDescent="0.3">
      <c r="A77" s="1" t="s">
        <v>164</v>
      </c>
      <c r="B77" s="1" t="s">
        <v>133</v>
      </c>
      <c r="C77" s="1" t="s">
        <v>165</v>
      </c>
      <c r="D77" s="2">
        <v>42685</v>
      </c>
      <c r="E77" s="3">
        <v>12757</v>
      </c>
      <c r="F77" s="3">
        <v>12201</v>
      </c>
      <c r="G77" s="4">
        <f t="shared" si="2"/>
        <v>0.95641608528650934</v>
      </c>
      <c r="H77" s="4" t="str">
        <f t="shared" si="3"/>
        <v>High</v>
      </c>
      <c r="I77" s="5" t="s">
        <v>40</v>
      </c>
      <c r="J77" s="6">
        <v>1</v>
      </c>
      <c r="K77" s="6">
        <v>1673</v>
      </c>
    </row>
    <row r="78" spans="1:11" x14ac:dyDescent="0.3">
      <c r="A78" s="1" t="s">
        <v>166</v>
      </c>
      <c r="B78" s="1" t="s">
        <v>133</v>
      </c>
      <c r="C78" s="1" t="s">
        <v>167</v>
      </c>
      <c r="D78" s="2">
        <v>42685</v>
      </c>
      <c r="E78" s="3">
        <v>4401</v>
      </c>
      <c r="F78" s="3">
        <v>4306</v>
      </c>
      <c r="G78" s="4">
        <f t="shared" si="2"/>
        <v>0.97841399681890484</v>
      </c>
      <c r="H78" s="4" t="str">
        <f t="shared" si="3"/>
        <v>High</v>
      </c>
      <c r="I78" s="5" t="s">
        <v>40</v>
      </c>
      <c r="J78" s="6">
        <v>3</v>
      </c>
      <c r="K78" s="6">
        <v>1940</v>
      </c>
    </row>
    <row r="79" spans="1:11" x14ac:dyDescent="0.3">
      <c r="A79" s="1" t="s">
        <v>168</v>
      </c>
      <c r="B79" s="1" t="s">
        <v>133</v>
      </c>
      <c r="C79" s="1" t="s">
        <v>169</v>
      </c>
      <c r="D79" s="2">
        <v>42685</v>
      </c>
      <c r="E79" s="3">
        <v>9480</v>
      </c>
      <c r="F79" s="3">
        <v>9313</v>
      </c>
      <c r="G79" s="4">
        <f t="shared" si="2"/>
        <v>0.98238396624472579</v>
      </c>
      <c r="H79" s="4" t="str">
        <f t="shared" si="3"/>
        <v>High</v>
      </c>
      <c r="I79" s="5" t="s">
        <v>15</v>
      </c>
      <c r="J79" s="6">
        <v>3</v>
      </c>
      <c r="K79" s="6">
        <v>1597</v>
      </c>
    </row>
    <row r="80" spans="1:11" x14ac:dyDescent="0.3">
      <c r="A80" s="1" t="s">
        <v>170</v>
      </c>
      <c r="B80" s="1" t="s">
        <v>133</v>
      </c>
      <c r="C80" s="1" t="s">
        <v>171</v>
      </c>
      <c r="D80" s="2">
        <v>42685</v>
      </c>
      <c r="E80" s="3">
        <v>21755</v>
      </c>
      <c r="F80" s="3">
        <v>21357</v>
      </c>
      <c r="G80" s="4">
        <f t="shared" si="2"/>
        <v>0.98170535509078372</v>
      </c>
      <c r="H80" s="4" t="str">
        <f t="shared" si="3"/>
        <v>High</v>
      </c>
      <c r="I80" s="5" t="s">
        <v>16</v>
      </c>
      <c r="J80" s="6">
        <v>5</v>
      </c>
      <c r="K80" s="6">
        <v>2071</v>
      </c>
    </row>
    <row r="81" spans="1:11" x14ac:dyDescent="0.3">
      <c r="A81" s="1" t="s">
        <v>172</v>
      </c>
      <c r="B81" s="1" t="s">
        <v>133</v>
      </c>
      <c r="C81" s="1" t="s">
        <v>173</v>
      </c>
      <c r="D81" s="2">
        <v>42685</v>
      </c>
      <c r="E81" s="3">
        <v>7509</v>
      </c>
      <c r="F81" s="3">
        <v>7422</v>
      </c>
      <c r="G81" s="4">
        <f t="shared" si="2"/>
        <v>0.98841390331602075</v>
      </c>
      <c r="H81" s="4" t="str">
        <f t="shared" si="3"/>
        <v>High</v>
      </c>
      <c r="I81" s="5" t="s">
        <v>16</v>
      </c>
      <c r="J81" s="6">
        <v>3</v>
      </c>
      <c r="K81" s="6">
        <v>1920</v>
      </c>
    </row>
    <row r="82" spans="1:11" x14ac:dyDescent="0.3">
      <c r="A82" s="1" t="s">
        <v>174</v>
      </c>
      <c r="B82" s="1" t="s">
        <v>133</v>
      </c>
      <c r="C82" s="1" t="s">
        <v>175</v>
      </c>
      <c r="D82" s="2">
        <v>42737</v>
      </c>
      <c r="E82" s="3">
        <v>2682</v>
      </c>
      <c r="F82" s="3">
        <v>2614</v>
      </c>
      <c r="G82" s="4">
        <f t="shared" si="2"/>
        <v>0.97464578672632363</v>
      </c>
      <c r="H82" s="4" t="str">
        <f t="shared" si="3"/>
        <v>High</v>
      </c>
      <c r="I82" s="5" t="s">
        <v>15</v>
      </c>
      <c r="J82" s="6">
        <v>2</v>
      </c>
      <c r="K82" s="6">
        <v>1181</v>
      </c>
    </row>
    <row r="83" spans="1:11" x14ac:dyDescent="0.3">
      <c r="A83" s="1" t="s">
        <v>176</v>
      </c>
      <c r="B83" s="1" t="s">
        <v>177</v>
      </c>
      <c r="C83" s="1" t="s">
        <v>178</v>
      </c>
      <c r="D83" s="2">
        <v>42685</v>
      </c>
      <c r="E83" s="3">
        <v>14179</v>
      </c>
      <c r="F83" s="3">
        <v>14053</v>
      </c>
      <c r="G83" s="4">
        <f t="shared" si="2"/>
        <v>0.99111361873192749</v>
      </c>
      <c r="H83" s="4" t="str">
        <f t="shared" si="3"/>
        <v>High</v>
      </c>
      <c r="I83" s="5" t="s">
        <v>15</v>
      </c>
      <c r="J83" s="6">
        <v>1</v>
      </c>
      <c r="K83" s="6">
        <v>1754</v>
      </c>
    </row>
    <row r="84" spans="1:11" x14ac:dyDescent="0.3">
      <c r="A84" s="1" t="s">
        <v>179</v>
      </c>
      <c r="B84" s="1" t="s">
        <v>177</v>
      </c>
      <c r="C84" s="1" t="s">
        <v>180</v>
      </c>
      <c r="D84" s="2">
        <v>42685</v>
      </c>
      <c r="E84" s="3">
        <v>21402</v>
      </c>
      <c r="F84" s="3">
        <v>21259</v>
      </c>
      <c r="G84" s="4">
        <f t="shared" si="2"/>
        <v>0.99331838145967666</v>
      </c>
      <c r="H84" s="4" t="str">
        <f t="shared" si="3"/>
        <v>High</v>
      </c>
      <c r="I84" s="5" t="s">
        <v>16</v>
      </c>
      <c r="J84" s="6">
        <v>3</v>
      </c>
      <c r="K84" s="6">
        <v>1260</v>
      </c>
    </row>
    <row r="85" spans="1:11" x14ac:dyDescent="0.3">
      <c r="A85" s="1" t="s">
        <v>181</v>
      </c>
      <c r="B85" s="1" t="s">
        <v>177</v>
      </c>
      <c r="C85" s="1" t="s">
        <v>182</v>
      </c>
      <c r="D85" s="2">
        <v>42685</v>
      </c>
      <c r="E85" s="3">
        <v>5865</v>
      </c>
      <c r="F85" s="3">
        <v>5633</v>
      </c>
      <c r="G85" s="4">
        <f t="shared" si="2"/>
        <v>0.96044330775788578</v>
      </c>
      <c r="H85" s="4" t="str">
        <f t="shared" si="3"/>
        <v>High</v>
      </c>
      <c r="I85" s="5" t="s">
        <v>27</v>
      </c>
      <c r="J85" s="6">
        <v>1</v>
      </c>
      <c r="K85" s="6">
        <v>1123</v>
      </c>
    </row>
    <row r="86" spans="1:11" x14ac:dyDescent="0.3">
      <c r="A86" s="1" t="s">
        <v>183</v>
      </c>
      <c r="B86" s="1" t="s">
        <v>177</v>
      </c>
      <c r="C86" s="1" t="s">
        <v>184</v>
      </c>
      <c r="D86" s="2">
        <v>42685</v>
      </c>
      <c r="E86" s="3">
        <v>20061</v>
      </c>
      <c r="F86" s="3">
        <v>19841</v>
      </c>
      <c r="G86" s="4">
        <f t="shared" si="2"/>
        <v>0.98903344798364989</v>
      </c>
      <c r="H86" s="4" t="str">
        <f t="shared" si="3"/>
        <v>High</v>
      </c>
      <c r="I86" s="5" t="s">
        <v>16</v>
      </c>
      <c r="J86" s="6">
        <v>2</v>
      </c>
      <c r="K86" s="6">
        <v>1214</v>
      </c>
    </row>
    <row r="87" spans="1:11" x14ac:dyDescent="0.3">
      <c r="A87" s="1" t="s">
        <v>185</v>
      </c>
      <c r="B87" s="1" t="s">
        <v>177</v>
      </c>
      <c r="C87" s="1" t="s">
        <v>186</v>
      </c>
      <c r="D87" s="2">
        <v>42685</v>
      </c>
      <c r="E87" s="3">
        <v>18291</v>
      </c>
      <c r="F87" s="3">
        <v>17884</v>
      </c>
      <c r="G87" s="4">
        <f t="shared" si="2"/>
        <v>0.9777486195396643</v>
      </c>
      <c r="H87" s="4" t="str">
        <f t="shared" si="3"/>
        <v>High</v>
      </c>
      <c r="I87" s="5" t="s">
        <v>27</v>
      </c>
      <c r="J87" s="6">
        <v>5</v>
      </c>
      <c r="K87" s="6">
        <v>1133</v>
      </c>
    </row>
    <row r="88" spans="1:11" x14ac:dyDescent="0.3">
      <c r="A88" s="1" t="s">
        <v>187</v>
      </c>
      <c r="B88" s="1" t="s">
        <v>177</v>
      </c>
      <c r="C88" s="1" t="s">
        <v>188</v>
      </c>
      <c r="D88" s="2">
        <v>42685</v>
      </c>
      <c r="E88" s="3">
        <v>5014</v>
      </c>
      <c r="F88" s="3">
        <v>4754</v>
      </c>
      <c r="G88" s="4">
        <f t="shared" si="2"/>
        <v>0.94814519345831672</v>
      </c>
      <c r="H88" s="4" t="str">
        <f t="shared" si="3"/>
        <v>low</v>
      </c>
      <c r="I88" s="5" t="s">
        <v>27</v>
      </c>
      <c r="J88" s="6">
        <v>3</v>
      </c>
      <c r="K88" s="6">
        <v>1583</v>
      </c>
    </row>
    <row r="89" spans="1:11" x14ac:dyDescent="0.3">
      <c r="A89" s="1" t="s">
        <v>189</v>
      </c>
      <c r="B89" s="1" t="s">
        <v>177</v>
      </c>
      <c r="C89" s="1" t="s">
        <v>190</v>
      </c>
      <c r="D89" s="2">
        <v>42685</v>
      </c>
      <c r="E89" s="3">
        <v>17991</v>
      </c>
      <c r="F89" s="3">
        <v>17669</v>
      </c>
      <c r="G89" s="4">
        <f t="shared" si="2"/>
        <v>0.98210216219220725</v>
      </c>
      <c r="H89" s="4" t="str">
        <f t="shared" si="3"/>
        <v>High</v>
      </c>
      <c r="I89" s="5" t="s">
        <v>27</v>
      </c>
      <c r="J89" s="6">
        <v>2</v>
      </c>
      <c r="K89" s="6">
        <v>2209</v>
      </c>
    </row>
    <row r="90" spans="1:11" x14ac:dyDescent="0.3">
      <c r="A90" s="1" t="s">
        <v>191</v>
      </c>
      <c r="B90" s="1" t="s">
        <v>177</v>
      </c>
      <c r="C90" s="1" t="s">
        <v>192</v>
      </c>
      <c r="D90" s="2">
        <v>42685</v>
      </c>
      <c r="E90" s="3">
        <v>19420</v>
      </c>
      <c r="F90" s="3">
        <v>19081</v>
      </c>
      <c r="G90" s="4">
        <f t="shared" si="2"/>
        <v>0.98254376930998966</v>
      </c>
      <c r="H90" s="4" t="str">
        <f t="shared" si="3"/>
        <v>High</v>
      </c>
      <c r="I90" s="5" t="s">
        <v>27</v>
      </c>
      <c r="J90" s="6">
        <v>1</v>
      </c>
      <c r="K90" s="6">
        <v>2371</v>
      </c>
    </row>
    <row r="91" spans="1:11" x14ac:dyDescent="0.3">
      <c r="A91" s="1" t="s">
        <v>193</v>
      </c>
      <c r="B91" s="1" t="s">
        <v>177</v>
      </c>
      <c r="C91" s="1" t="s">
        <v>194</v>
      </c>
      <c r="D91" s="2">
        <v>42685</v>
      </c>
      <c r="E91" s="3">
        <v>8064</v>
      </c>
      <c r="F91" s="3">
        <v>7041</v>
      </c>
      <c r="G91" s="4">
        <f t="shared" si="2"/>
        <v>0.87313988095238093</v>
      </c>
      <c r="H91" s="4" t="str">
        <f t="shared" si="3"/>
        <v>low</v>
      </c>
      <c r="I91" s="5" t="s">
        <v>27</v>
      </c>
      <c r="J91" s="6">
        <v>1</v>
      </c>
      <c r="K91" s="6">
        <v>1456</v>
      </c>
    </row>
    <row r="92" spans="1:11" x14ac:dyDescent="0.3">
      <c r="A92" s="1" t="s">
        <v>195</v>
      </c>
      <c r="B92" s="1" t="s">
        <v>177</v>
      </c>
      <c r="C92" s="1" t="s">
        <v>196</v>
      </c>
      <c r="D92" s="2">
        <v>42685</v>
      </c>
      <c r="E92" s="3">
        <v>14046</v>
      </c>
      <c r="F92" s="3">
        <v>13559</v>
      </c>
      <c r="G92" s="4">
        <f t="shared" si="2"/>
        <v>0.96532820731880964</v>
      </c>
      <c r="H92" s="4" t="str">
        <f t="shared" si="3"/>
        <v>High</v>
      </c>
      <c r="I92" s="5" t="s">
        <v>27</v>
      </c>
      <c r="J92" s="6">
        <v>3</v>
      </c>
      <c r="K92" s="6">
        <v>1193</v>
      </c>
    </row>
    <row r="93" spans="1:11" x14ac:dyDescent="0.3">
      <c r="A93" s="1" t="s">
        <v>197</v>
      </c>
      <c r="B93" s="1" t="s">
        <v>177</v>
      </c>
      <c r="C93" s="1" t="s">
        <v>198</v>
      </c>
      <c r="D93" s="2">
        <v>42685</v>
      </c>
      <c r="E93" s="3">
        <v>17279</v>
      </c>
      <c r="F93" s="3">
        <v>15776</v>
      </c>
      <c r="G93" s="4">
        <f t="shared" si="2"/>
        <v>0.91301579952543555</v>
      </c>
      <c r="H93" s="4" t="str">
        <f t="shared" si="3"/>
        <v>low</v>
      </c>
      <c r="I93" s="5" t="s">
        <v>40</v>
      </c>
      <c r="J93" s="6">
        <v>5</v>
      </c>
      <c r="K93" s="6">
        <v>1898</v>
      </c>
    </row>
    <row r="94" spans="1:11" x14ac:dyDescent="0.3">
      <c r="A94" s="1" t="s">
        <v>199</v>
      </c>
      <c r="B94" s="1" t="s">
        <v>177</v>
      </c>
      <c r="C94" s="1" t="s">
        <v>200</v>
      </c>
      <c r="D94" s="2">
        <v>42685</v>
      </c>
      <c r="E94" s="3">
        <v>8819</v>
      </c>
      <c r="F94" s="3">
        <v>8710</v>
      </c>
      <c r="G94" s="4">
        <f t="shared" si="2"/>
        <v>0.98764032203197638</v>
      </c>
      <c r="H94" s="4" t="str">
        <f t="shared" si="3"/>
        <v>High</v>
      </c>
      <c r="I94" s="5" t="s">
        <v>27</v>
      </c>
      <c r="J94" s="6">
        <v>2</v>
      </c>
      <c r="K94" s="6">
        <v>1194</v>
      </c>
    </row>
    <row r="95" spans="1:11" x14ac:dyDescent="0.3">
      <c r="A95" s="1" t="s">
        <v>201</v>
      </c>
      <c r="B95" s="1" t="s">
        <v>177</v>
      </c>
      <c r="C95" s="1" t="s">
        <v>202</v>
      </c>
      <c r="D95" s="2">
        <v>42685</v>
      </c>
      <c r="E95" s="3">
        <v>2910</v>
      </c>
      <c r="F95" s="3">
        <v>2877</v>
      </c>
      <c r="G95" s="4">
        <f t="shared" si="2"/>
        <v>0.98865979381443303</v>
      </c>
      <c r="H95" s="4" t="str">
        <f t="shared" si="3"/>
        <v>High</v>
      </c>
      <c r="I95" s="5" t="s">
        <v>16</v>
      </c>
      <c r="J95" s="6">
        <v>5</v>
      </c>
      <c r="K95" s="6">
        <v>1456</v>
      </c>
    </row>
    <row r="96" spans="1:11" x14ac:dyDescent="0.3">
      <c r="A96" s="1" t="s">
        <v>203</v>
      </c>
      <c r="B96" s="1" t="s">
        <v>177</v>
      </c>
      <c r="C96" s="1" t="s">
        <v>204</v>
      </c>
      <c r="D96" s="2">
        <v>42685</v>
      </c>
      <c r="E96" s="3">
        <v>17860</v>
      </c>
      <c r="F96" s="3">
        <v>17727</v>
      </c>
      <c r="G96" s="4">
        <f t="shared" si="2"/>
        <v>0.99255319148936172</v>
      </c>
      <c r="H96" s="4" t="str">
        <f t="shared" si="3"/>
        <v>High</v>
      </c>
      <c r="I96" s="5" t="s">
        <v>40</v>
      </c>
      <c r="J96" s="6">
        <v>1</v>
      </c>
      <c r="K96" s="6">
        <v>2158</v>
      </c>
    </row>
    <row r="97" spans="1:11" x14ac:dyDescent="0.3">
      <c r="A97" s="1" t="s">
        <v>205</v>
      </c>
      <c r="B97" s="1" t="s">
        <v>177</v>
      </c>
      <c r="C97" s="1" t="s">
        <v>206</v>
      </c>
      <c r="D97" s="2">
        <v>42685</v>
      </c>
      <c r="E97" s="3">
        <v>12942</v>
      </c>
      <c r="F97" s="3">
        <v>12564</v>
      </c>
      <c r="G97" s="4">
        <f t="shared" si="2"/>
        <v>0.97079276773296241</v>
      </c>
      <c r="H97" s="4" t="str">
        <f t="shared" si="3"/>
        <v>High</v>
      </c>
      <c r="I97" s="5" t="s">
        <v>16</v>
      </c>
      <c r="J97" s="6">
        <v>4</v>
      </c>
      <c r="K97" s="6">
        <v>1855</v>
      </c>
    </row>
    <row r="98" spans="1:11" x14ac:dyDescent="0.3">
      <c r="A98" s="1" t="s">
        <v>207</v>
      </c>
      <c r="B98" s="1" t="s">
        <v>177</v>
      </c>
      <c r="C98" s="1" t="s">
        <v>208</v>
      </c>
      <c r="D98" s="2">
        <v>42685</v>
      </c>
      <c r="E98" s="3">
        <v>19813</v>
      </c>
      <c r="F98" s="3">
        <v>19608</v>
      </c>
      <c r="G98" s="4">
        <f t="shared" si="2"/>
        <v>0.98965325796194414</v>
      </c>
      <c r="H98" s="4" t="str">
        <f t="shared" si="3"/>
        <v>High</v>
      </c>
      <c r="I98" s="5" t="s">
        <v>27</v>
      </c>
      <c r="J98" s="6">
        <v>3</v>
      </c>
      <c r="K98" s="6">
        <v>2328</v>
      </c>
    </row>
    <row r="99" spans="1:11" x14ac:dyDescent="0.3">
      <c r="A99" s="1" t="s">
        <v>209</v>
      </c>
      <c r="B99" s="1" t="s">
        <v>177</v>
      </c>
      <c r="C99" s="1" t="s">
        <v>210</v>
      </c>
      <c r="D99" s="2">
        <v>42685</v>
      </c>
      <c r="E99" s="3">
        <v>13976</v>
      </c>
      <c r="F99" s="3">
        <v>13729</v>
      </c>
      <c r="G99" s="4">
        <f t="shared" si="2"/>
        <v>0.98232684602175158</v>
      </c>
      <c r="H99" s="4" t="str">
        <f t="shared" si="3"/>
        <v>High</v>
      </c>
      <c r="I99" s="5" t="s">
        <v>40</v>
      </c>
      <c r="J99" s="6">
        <v>2</v>
      </c>
      <c r="K99" s="6">
        <v>2342</v>
      </c>
    </row>
    <row r="100" spans="1:11" x14ac:dyDescent="0.3">
      <c r="A100" s="1" t="s">
        <v>211</v>
      </c>
      <c r="B100" s="1" t="s">
        <v>177</v>
      </c>
      <c r="C100" s="1" t="s">
        <v>212</v>
      </c>
      <c r="D100" s="2">
        <v>42685</v>
      </c>
      <c r="E100" s="3">
        <v>19426</v>
      </c>
      <c r="F100" s="3">
        <v>19286</v>
      </c>
      <c r="G100" s="4">
        <f t="shared" si="2"/>
        <v>0.99279316380109128</v>
      </c>
      <c r="H100" s="4" t="str">
        <f t="shared" si="3"/>
        <v>High</v>
      </c>
      <c r="I100" s="5" t="s">
        <v>16</v>
      </c>
      <c r="J100" s="6">
        <v>2</v>
      </c>
      <c r="K100" s="6">
        <v>2297</v>
      </c>
    </row>
    <row r="101" spans="1:11" x14ac:dyDescent="0.3">
      <c r="A101" s="1" t="s">
        <v>213</v>
      </c>
      <c r="B101" s="1" t="s">
        <v>177</v>
      </c>
      <c r="C101" s="1" t="s">
        <v>214</v>
      </c>
      <c r="D101" s="2">
        <v>42685</v>
      </c>
      <c r="E101" s="3">
        <v>19952</v>
      </c>
      <c r="F101" s="3">
        <v>19740</v>
      </c>
      <c r="G101" s="4">
        <f t="shared" si="2"/>
        <v>0.98937449879711303</v>
      </c>
      <c r="H101" s="4" t="str">
        <f t="shared" si="3"/>
        <v>High</v>
      </c>
      <c r="I101" s="5" t="s">
        <v>27</v>
      </c>
      <c r="J101" s="6">
        <v>3</v>
      </c>
      <c r="K101" s="6">
        <v>1279</v>
      </c>
    </row>
    <row r="102" spans="1:11" x14ac:dyDescent="0.3">
      <c r="A102" s="1" t="s">
        <v>215</v>
      </c>
      <c r="B102" s="1" t="s">
        <v>177</v>
      </c>
      <c r="C102" s="1" t="s">
        <v>216</v>
      </c>
      <c r="D102" s="2">
        <v>42685</v>
      </c>
      <c r="E102" s="3">
        <v>17045</v>
      </c>
      <c r="F102" s="3">
        <v>16737</v>
      </c>
      <c r="G102" s="4">
        <f t="shared" si="2"/>
        <v>0.98193018480492811</v>
      </c>
      <c r="H102" s="4" t="str">
        <f t="shared" si="3"/>
        <v>High</v>
      </c>
      <c r="I102" s="5" t="s">
        <v>40</v>
      </c>
      <c r="J102" s="6">
        <v>1</v>
      </c>
      <c r="K102" s="6">
        <v>1383</v>
      </c>
    </row>
    <row r="103" spans="1:11" x14ac:dyDescent="0.3">
      <c r="A103" s="1" t="s">
        <v>217</v>
      </c>
      <c r="B103" s="1" t="s">
        <v>177</v>
      </c>
      <c r="C103" s="1" t="s">
        <v>218</v>
      </c>
      <c r="D103" s="2">
        <v>42685</v>
      </c>
      <c r="E103" s="3">
        <v>5878</v>
      </c>
      <c r="F103" s="3">
        <v>5703</v>
      </c>
      <c r="G103" s="4">
        <f t="shared" si="2"/>
        <v>0.9702279686968357</v>
      </c>
      <c r="H103" s="4" t="str">
        <f t="shared" si="3"/>
        <v>High</v>
      </c>
      <c r="I103" s="5" t="s">
        <v>40</v>
      </c>
      <c r="J103" s="6">
        <v>3</v>
      </c>
      <c r="K103" s="6">
        <v>2163</v>
      </c>
    </row>
    <row r="104" spans="1:11" x14ac:dyDescent="0.3">
      <c r="A104" s="1" t="s">
        <v>219</v>
      </c>
      <c r="B104" s="1" t="s">
        <v>177</v>
      </c>
      <c r="C104" s="1" t="s">
        <v>220</v>
      </c>
      <c r="D104" s="2">
        <v>42685</v>
      </c>
      <c r="E104" s="3">
        <v>19922</v>
      </c>
      <c r="F104" s="3">
        <v>19163</v>
      </c>
      <c r="G104" s="4">
        <f t="shared" si="2"/>
        <v>0.9619014155205301</v>
      </c>
      <c r="H104" s="4" t="str">
        <f t="shared" si="3"/>
        <v>High</v>
      </c>
      <c r="I104" s="5" t="s">
        <v>16</v>
      </c>
      <c r="J104" s="6">
        <v>5</v>
      </c>
      <c r="K104" s="6">
        <v>1284</v>
      </c>
    </row>
    <row r="105" spans="1:11" x14ac:dyDescent="0.3">
      <c r="A105" s="1" t="s">
        <v>221</v>
      </c>
      <c r="B105" s="1" t="s">
        <v>177</v>
      </c>
      <c r="C105" s="1" t="s">
        <v>222</v>
      </c>
      <c r="D105" s="2">
        <v>42685</v>
      </c>
      <c r="E105" s="3">
        <v>16287</v>
      </c>
      <c r="F105" s="3">
        <v>16138</v>
      </c>
      <c r="G105" s="4">
        <f t="shared" si="2"/>
        <v>0.99085159943513235</v>
      </c>
      <c r="H105" s="4" t="str">
        <f t="shared" si="3"/>
        <v>High</v>
      </c>
      <c r="I105" s="5" t="s">
        <v>40</v>
      </c>
      <c r="J105" s="6">
        <v>1</v>
      </c>
      <c r="K105" s="6">
        <v>2069</v>
      </c>
    </row>
    <row r="106" spans="1:11" x14ac:dyDescent="0.3">
      <c r="A106" s="1" t="s">
        <v>223</v>
      </c>
      <c r="B106" s="1" t="s">
        <v>224</v>
      </c>
      <c r="C106" s="1" t="s">
        <v>225</v>
      </c>
      <c r="D106" s="2">
        <v>42593</v>
      </c>
      <c r="E106" s="3">
        <v>20461</v>
      </c>
      <c r="F106" s="3">
        <v>20246</v>
      </c>
      <c r="G106" s="4">
        <f t="shared" si="2"/>
        <v>0.9894922046820781</v>
      </c>
      <c r="H106" s="4" t="str">
        <f t="shared" si="3"/>
        <v>High</v>
      </c>
      <c r="I106" s="5" t="s">
        <v>40</v>
      </c>
      <c r="J106" s="6">
        <v>5</v>
      </c>
      <c r="K106" s="6">
        <v>1430</v>
      </c>
    </row>
    <row r="107" spans="1:11" x14ac:dyDescent="0.3">
      <c r="A107" s="1" t="s">
        <v>226</v>
      </c>
      <c r="B107" s="1" t="s">
        <v>224</v>
      </c>
      <c r="C107" s="1" t="s">
        <v>227</v>
      </c>
      <c r="D107" s="2">
        <v>42593</v>
      </c>
      <c r="E107" s="3">
        <v>2942</v>
      </c>
      <c r="F107" s="3">
        <v>2762</v>
      </c>
      <c r="G107" s="4">
        <f t="shared" si="2"/>
        <v>0.93881713120326304</v>
      </c>
      <c r="H107" s="4" t="str">
        <f t="shared" si="3"/>
        <v>low</v>
      </c>
      <c r="I107" s="5" t="s">
        <v>15</v>
      </c>
      <c r="J107" s="6">
        <v>3</v>
      </c>
      <c r="K107" s="6">
        <v>1152</v>
      </c>
    </row>
    <row r="108" spans="1:11" x14ac:dyDescent="0.3">
      <c r="A108" s="1" t="s">
        <v>228</v>
      </c>
      <c r="B108" s="1" t="s">
        <v>224</v>
      </c>
      <c r="C108" s="1" t="s">
        <v>229</v>
      </c>
      <c r="D108" s="2">
        <v>42593</v>
      </c>
      <c r="E108" s="3">
        <v>3627</v>
      </c>
      <c r="F108" s="3">
        <v>3240</v>
      </c>
      <c r="G108" s="4">
        <f t="shared" si="2"/>
        <v>0.89330024813895781</v>
      </c>
      <c r="H108" s="4" t="str">
        <f t="shared" si="3"/>
        <v>low</v>
      </c>
      <c r="I108" s="5" t="s">
        <v>40</v>
      </c>
      <c r="J108" s="6">
        <v>5</v>
      </c>
      <c r="K108" s="6">
        <v>1688</v>
      </c>
    </row>
    <row r="109" spans="1:11" x14ac:dyDescent="0.3">
      <c r="A109" s="1" t="s">
        <v>230</v>
      </c>
      <c r="B109" s="1" t="s">
        <v>224</v>
      </c>
      <c r="C109" s="1" t="s">
        <v>231</v>
      </c>
      <c r="D109" s="2">
        <v>42593</v>
      </c>
      <c r="E109" s="3">
        <v>20956</v>
      </c>
      <c r="F109" s="3">
        <v>20348</v>
      </c>
      <c r="G109" s="4">
        <f t="shared" si="2"/>
        <v>0.97098682954762361</v>
      </c>
      <c r="H109" s="4" t="str">
        <f t="shared" si="3"/>
        <v>High</v>
      </c>
      <c r="I109" s="5" t="s">
        <v>40</v>
      </c>
      <c r="J109" s="6">
        <v>3</v>
      </c>
      <c r="K109" s="6">
        <v>1057</v>
      </c>
    </row>
    <row r="110" spans="1:11" x14ac:dyDescent="0.3">
      <c r="A110" s="1" t="s">
        <v>232</v>
      </c>
      <c r="B110" s="1" t="s">
        <v>224</v>
      </c>
      <c r="C110" s="1" t="s">
        <v>233</v>
      </c>
      <c r="D110" s="2">
        <v>42593</v>
      </c>
      <c r="E110" s="3">
        <v>19658</v>
      </c>
      <c r="F110" s="3">
        <v>19241</v>
      </c>
      <c r="G110" s="4">
        <f t="shared" si="2"/>
        <v>0.97878726218333501</v>
      </c>
      <c r="H110" s="4" t="str">
        <f t="shared" si="3"/>
        <v>High</v>
      </c>
      <c r="I110" s="5" t="s">
        <v>40</v>
      </c>
      <c r="J110" s="6">
        <v>1</v>
      </c>
      <c r="K110" s="6">
        <v>1531</v>
      </c>
    </row>
    <row r="111" spans="1:11" x14ac:dyDescent="0.3">
      <c r="A111" s="1" t="s">
        <v>234</v>
      </c>
      <c r="B111" s="1" t="s">
        <v>224</v>
      </c>
      <c r="C111" s="1" t="s">
        <v>235</v>
      </c>
      <c r="D111" s="2">
        <v>42593</v>
      </c>
      <c r="E111" s="3">
        <v>19593</v>
      </c>
      <c r="F111" s="3">
        <v>19574</v>
      </c>
      <c r="G111" s="4">
        <f t="shared" si="2"/>
        <v>0.99903026591129485</v>
      </c>
      <c r="H111" s="4" t="str">
        <f t="shared" si="3"/>
        <v>High</v>
      </c>
      <c r="I111" s="5" t="s">
        <v>27</v>
      </c>
      <c r="J111" s="6">
        <v>5</v>
      </c>
      <c r="K111" s="6">
        <v>2164</v>
      </c>
    </row>
    <row r="112" spans="1:11" x14ac:dyDescent="0.3">
      <c r="A112" s="1" t="s">
        <v>236</v>
      </c>
      <c r="B112" s="1" t="s">
        <v>224</v>
      </c>
      <c r="C112" s="1" t="s">
        <v>237</v>
      </c>
      <c r="D112" s="2">
        <v>42593</v>
      </c>
      <c r="E112" s="3">
        <v>21768</v>
      </c>
      <c r="F112" s="3">
        <v>21343</v>
      </c>
      <c r="G112" s="4">
        <f t="shared" si="2"/>
        <v>0.98047592796765892</v>
      </c>
      <c r="H112" s="4" t="str">
        <f t="shared" si="3"/>
        <v>High</v>
      </c>
      <c r="I112" s="5" t="s">
        <v>40</v>
      </c>
      <c r="J112" s="6">
        <v>4</v>
      </c>
      <c r="K112" s="6">
        <v>1304</v>
      </c>
    </row>
    <row r="113" spans="1:11" x14ac:dyDescent="0.3">
      <c r="A113" s="1" t="s">
        <v>238</v>
      </c>
      <c r="B113" s="1" t="s">
        <v>224</v>
      </c>
      <c r="C113" s="1" t="s">
        <v>239</v>
      </c>
      <c r="D113" s="2">
        <v>42593</v>
      </c>
      <c r="E113" s="3">
        <v>5345</v>
      </c>
      <c r="F113" s="3">
        <v>5329</v>
      </c>
      <c r="G113" s="4">
        <f t="shared" si="2"/>
        <v>0.99700654817586531</v>
      </c>
      <c r="H113" s="4" t="str">
        <f t="shared" si="3"/>
        <v>High</v>
      </c>
      <c r="I113" s="5" t="s">
        <v>15</v>
      </c>
      <c r="J113" s="6">
        <v>2</v>
      </c>
      <c r="K113" s="6">
        <v>2170</v>
      </c>
    </row>
    <row r="114" spans="1:11" x14ac:dyDescent="0.3">
      <c r="A114" s="1" t="s">
        <v>240</v>
      </c>
      <c r="B114" s="1" t="s">
        <v>224</v>
      </c>
      <c r="C114" s="1" t="s">
        <v>241</v>
      </c>
      <c r="D114" s="2">
        <v>42593</v>
      </c>
      <c r="E114" s="3">
        <v>9914</v>
      </c>
      <c r="F114" s="3">
        <v>9713</v>
      </c>
      <c r="G114" s="4">
        <f t="shared" si="2"/>
        <v>0.97972564050837196</v>
      </c>
      <c r="H114" s="4" t="str">
        <f t="shared" si="3"/>
        <v>High</v>
      </c>
      <c r="I114" s="5" t="s">
        <v>40</v>
      </c>
      <c r="J114" s="6">
        <v>3</v>
      </c>
      <c r="K114" s="6">
        <v>2053</v>
      </c>
    </row>
    <row r="115" spans="1:11" x14ac:dyDescent="0.3">
      <c r="A115" s="1" t="s">
        <v>242</v>
      </c>
      <c r="B115" s="1" t="s">
        <v>224</v>
      </c>
      <c r="C115" s="1" t="s">
        <v>243</v>
      </c>
      <c r="D115" s="2">
        <v>42593</v>
      </c>
      <c r="E115" s="3">
        <v>14795</v>
      </c>
      <c r="F115" s="3">
        <v>14654</v>
      </c>
      <c r="G115" s="4">
        <f t="shared" si="2"/>
        <v>0.99046975329503206</v>
      </c>
      <c r="H115" s="4" t="str">
        <f t="shared" si="3"/>
        <v>High</v>
      </c>
      <c r="I115" s="5" t="s">
        <v>40</v>
      </c>
      <c r="J115" s="6">
        <v>2</v>
      </c>
      <c r="K115" s="6">
        <v>2064</v>
      </c>
    </row>
    <row r="116" spans="1:11" x14ac:dyDescent="0.3">
      <c r="A116" s="1" t="s">
        <v>244</v>
      </c>
      <c r="B116" s="1" t="s">
        <v>224</v>
      </c>
      <c r="C116" s="1" t="s">
        <v>245</v>
      </c>
      <c r="D116" s="2">
        <v>42593</v>
      </c>
      <c r="E116" s="3">
        <v>3139</v>
      </c>
      <c r="F116" s="3">
        <v>2748</v>
      </c>
      <c r="G116" s="4">
        <f t="shared" si="2"/>
        <v>0.87543803759158967</v>
      </c>
      <c r="H116" s="4" t="str">
        <f t="shared" si="3"/>
        <v>low</v>
      </c>
      <c r="I116" s="5" t="s">
        <v>15</v>
      </c>
      <c r="J116" s="6">
        <v>5</v>
      </c>
      <c r="K116" s="6">
        <v>1925</v>
      </c>
    </row>
    <row r="117" spans="1:11" x14ac:dyDescent="0.3">
      <c r="A117" s="1" t="s">
        <v>246</v>
      </c>
      <c r="B117" s="1" t="s">
        <v>224</v>
      </c>
      <c r="C117" s="1" t="s">
        <v>247</v>
      </c>
      <c r="D117" s="2">
        <v>42593</v>
      </c>
      <c r="E117" s="3">
        <v>1887</v>
      </c>
      <c r="F117" s="3">
        <v>1579</v>
      </c>
      <c r="G117" s="4">
        <f t="shared" si="2"/>
        <v>0.83677795442501324</v>
      </c>
      <c r="H117" s="4" t="str">
        <f t="shared" si="3"/>
        <v>low</v>
      </c>
      <c r="I117" s="5" t="s">
        <v>15</v>
      </c>
      <c r="J117" s="6">
        <v>1</v>
      </c>
      <c r="K117" s="6">
        <v>2202</v>
      </c>
    </row>
    <row r="118" spans="1:11" x14ac:dyDescent="0.3">
      <c r="A118" s="1" t="s">
        <v>248</v>
      </c>
      <c r="B118" s="1" t="s">
        <v>224</v>
      </c>
      <c r="C118" s="1" t="s">
        <v>249</v>
      </c>
      <c r="D118" s="2">
        <v>42593</v>
      </c>
      <c r="E118" s="3">
        <v>19595</v>
      </c>
      <c r="F118" s="3">
        <v>19215</v>
      </c>
      <c r="G118" s="4">
        <f t="shared" si="2"/>
        <v>0.98060729778004596</v>
      </c>
      <c r="H118" s="4" t="str">
        <f t="shared" si="3"/>
        <v>High</v>
      </c>
      <c r="I118" s="5" t="s">
        <v>40</v>
      </c>
      <c r="J118" s="6">
        <v>1</v>
      </c>
      <c r="K118" s="6">
        <v>1496</v>
      </c>
    </row>
    <row r="119" spans="1:11" x14ac:dyDescent="0.3">
      <c r="A119" s="1" t="s">
        <v>248</v>
      </c>
      <c r="B119" s="1" t="s">
        <v>224</v>
      </c>
      <c r="C119" s="1" t="s">
        <v>249</v>
      </c>
      <c r="D119" s="2">
        <v>42593</v>
      </c>
      <c r="E119" s="3">
        <v>7679</v>
      </c>
      <c r="F119" s="3">
        <v>7492</v>
      </c>
      <c r="G119" s="4">
        <f t="shared" si="2"/>
        <v>0.97564787081651261</v>
      </c>
      <c r="H119" s="4" t="str">
        <f t="shared" si="3"/>
        <v>High</v>
      </c>
      <c r="I119" s="5" t="s">
        <v>16</v>
      </c>
      <c r="J119" s="6">
        <v>2</v>
      </c>
      <c r="K119" s="6">
        <v>1784</v>
      </c>
    </row>
    <row r="120" spans="1:11" x14ac:dyDescent="0.3">
      <c r="A120" s="1" t="s">
        <v>250</v>
      </c>
      <c r="B120" s="1" t="s">
        <v>224</v>
      </c>
      <c r="C120" s="1" t="s">
        <v>251</v>
      </c>
      <c r="D120" s="2">
        <v>42593</v>
      </c>
      <c r="E120" s="3">
        <v>17967</v>
      </c>
      <c r="F120" s="3">
        <v>17604</v>
      </c>
      <c r="G120" s="4">
        <f t="shared" si="2"/>
        <v>0.97979629320420769</v>
      </c>
      <c r="H120" s="4" t="str">
        <f t="shared" si="3"/>
        <v>High</v>
      </c>
      <c r="I120" s="5" t="s">
        <v>16</v>
      </c>
      <c r="J120" s="6">
        <v>5</v>
      </c>
      <c r="K120" s="6">
        <v>1638</v>
      </c>
    </row>
    <row r="121" spans="1:11" x14ac:dyDescent="0.3">
      <c r="A121" s="1" t="s">
        <v>252</v>
      </c>
      <c r="B121" s="1" t="s">
        <v>224</v>
      </c>
      <c r="C121" s="1" t="s">
        <v>253</v>
      </c>
      <c r="D121" s="2">
        <v>42593</v>
      </c>
      <c r="E121" s="3">
        <v>15116</v>
      </c>
      <c r="F121" s="3">
        <v>14700</v>
      </c>
      <c r="G121" s="4">
        <f t="shared" si="2"/>
        <v>0.97247949192908179</v>
      </c>
      <c r="H121" s="4" t="str">
        <f t="shared" si="3"/>
        <v>High</v>
      </c>
      <c r="I121" s="5" t="s">
        <v>15</v>
      </c>
      <c r="J121" s="6">
        <v>4</v>
      </c>
      <c r="K121" s="6">
        <v>1859</v>
      </c>
    </row>
    <row r="122" spans="1:11" x14ac:dyDescent="0.3">
      <c r="A122" s="1" t="s">
        <v>254</v>
      </c>
      <c r="B122" s="1" t="s">
        <v>224</v>
      </c>
      <c r="C122" s="1" t="s">
        <v>255</v>
      </c>
      <c r="D122" s="2">
        <v>42593</v>
      </c>
      <c r="E122" s="3">
        <v>19555</v>
      </c>
      <c r="F122" s="3">
        <v>19332</v>
      </c>
      <c r="G122" s="4">
        <f t="shared" si="2"/>
        <v>0.98859626693940172</v>
      </c>
      <c r="H122" s="4" t="str">
        <f t="shared" si="3"/>
        <v>High</v>
      </c>
      <c r="I122" s="5" t="s">
        <v>15</v>
      </c>
      <c r="J122" s="6">
        <v>2</v>
      </c>
      <c r="K122" s="6">
        <v>1774</v>
      </c>
    </row>
    <row r="123" spans="1:11" x14ac:dyDescent="0.3">
      <c r="A123" s="1" t="s">
        <v>256</v>
      </c>
      <c r="B123" s="1" t="s">
        <v>224</v>
      </c>
      <c r="C123" s="1" t="s">
        <v>257</v>
      </c>
      <c r="D123" s="2">
        <v>42593</v>
      </c>
      <c r="E123" s="3">
        <v>20443</v>
      </c>
      <c r="F123" s="3">
        <v>20187</v>
      </c>
      <c r="G123" s="4">
        <f t="shared" si="2"/>
        <v>0.98747737611896491</v>
      </c>
      <c r="H123" s="4" t="str">
        <f t="shared" si="3"/>
        <v>High</v>
      </c>
      <c r="I123" s="5" t="s">
        <v>16</v>
      </c>
      <c r="J123" s="6">
        <v>3</v>
      </c>
      <c r="K123" s="6">
        <v>2436</v>
      </c>
    </row>
    <row r="124" spans="1:11" x14ac:dyDescent="0.3">
      <c r="A124" s="1" t="s">
        <v>258</v>
      </c>
      <c r="B124" s="1" t="s">
        <v>224</v>
      </c>
      <c r="C124" s="1" t="s">
        <v>259</v>
      </c>
      <c r="D124" s="2">
        <v>42593</v>
      </c>
      <c r="E124" s="3">
        <v>5243</v>
      </c>
      <c r="F124" s="3">
        <v>5089</v>
      </c>
      <c r="G124" s="4">
        <f t="shared" si="2"/>
        <v>0.97062750333778369</v>
      </c>
      <c r="H124" s="4" t="str">
        <f t="shared" si="3"/>
        <v>High</v>
      </c>
      <c r="I124" s="5" t="s">
        <v>16</v>
      </c>
      <c r="J124" s="6">
        <v>1</v>
      </c>
      <c r="K124" s="6">
        <v>2364</v>
      </c>
    </row>
    <row r="125" spans="1:11" x14ac:dyDescent="0.3">
      <c r="A125" s="1" t="s">
        <v>260</v>
      </c>
      <c r="B125" s="1" t="s">
        <v>224</v>
      </c>
      <c r="C125" s="1" t="s">
        <v>261</v>
      </c>
      <c r="D125" s="2">
        <v>42593</v>
      </c>
      <c r="E125" s="3">
        <v>8975</v>
      </c>
      <c r="F125" s="3">
        <v>8756</v>
      </c>
      <c r="G125" s="4">
        <f t="shared" si="2"/>
        <v>0.97559888579387188</v>
      </c>
      <c r="H125" s="4" t="str">
        <f t="shared" si="3"/>
        <v>High</v>
      </c>
      <c r="I125" s="5" t="s">
        <v>27</v>
      </c>
      <c r="J125" s="6">
        <v>2</v>
      </c>
      <c r="K125" s="6">
        <v>1665</v>
      </c>
    </row>
    <row r="126" spans="1:11" x14ac:dyDescent="0.3">
      <c r="A126" s="1" t="s">
        <v>262</v>
      </c>
      <c r="B126" s="1" t="s">
        <v>224</v>
      </c>
      <c r="C126" s="1" t="s">
        <v>263</v>
      </c>
      <c r="D126" s="2">
        <v>42593</v>
      </c>
      <c r="E126" s="3">
        <v>4121</v>
      </c>
      <c r="F126" s="3">
        <v>3643</v>
      </c>
      <c r="G126" s="4">
        <f t="shared" si="2"/>
        <v>0.88400873574375149</v>
      </c>
      <c r="H126" s="4" t="str">
        <f t="shared" si="3"/>
        <v>low</v>
      </c>
      <c r="I126" s="5" t="s">
        <v>40</v>
      </c>
      <c r="J126" s="6">
        <v>1</v>
      </c>
      <c r="K126" s="6">
        <v>2342</v>
      </c>
    </row>
    <row r="127" spans="1:11" x14ac:dyDescent="0.3">
      <c r="A127" s="1" t="s">
        <v>264</v>
      </c>
      <c r="B127" s="1" t="s">
        <v>224</v>
      </c>
      <c r="C127" s="1" t="s">
        <v>265</v>
      </c>
      <c r="D127" s="2">
        <v>42593</v>
      </c>
      <c r="E127" s="3">
        <v>6880</v>
      </c>
      <c r="F127" s="3">
        <v>6657</v>
      </c>
      <c r="G127" s="4">
        <f t="shared" si="2"/>
        <v>0.96758720930232556</v>
      </c>
      <c r="H127" s="4" t="str">
        <f t="shared" si="3"/>
        <v>High</v>
      </c>
      <c r="I127" s="5" t="s">
        <v>40</v>
      </c>
      <c r="J127" s="6">
        <v>1</v>
      </c>
      <c r="K127" s="6">
        <v>2284</v>
      </c>
    </row>
  </sheetData>
  <mergeCells count="1">
    <mergeCell ref="A1:K1"/>
  </mergeCells>
  <conditionalFormatting sqref="D3:D127">
    <cfRule type="timePeriod" dxfId="51" priority="1" timePeriod="yesterday">
      <formula>FLOOR(D3,1)=TODAY()-1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FC30-56F7-4177-8E5F-6669EEF3A89C}">
  <sheetPr>
    <tabColor theme="2" tint="-0.249977111117893"/>
  </sheetPr>
  <dimension ref="A1:K135"/>
  <sheetViews>
    <sheetView tabSelected="1" zoomScale="112" workbookViewId="0">
      <selection activeCell="A9" sqref="A9"/>
    </sheetView>
  </sheetViews>
  <sheetFormatPr defaultRowHeight="14.4" x14ac:dyDescent="0.3"/>
  <cols>
    <col min="1" max="1" width="16.33203125" bestFit="1" customWidth="1"/>
    <col min="2" max="2" width="8.77734375" bestFit="1" customWidth="1"/>
    <col min="3" max="3" width="16.5546875" style="12" bestFit="1" customWidth="1"/>
    <col min="4" max="15" width="9.33203125" customWidth="1"/>
  </cols>
  <sheetData>
    <row r="1" spans="1:11" x14ac:dyDescent="0.3">
      <c r="A1" s="13" t="s">
        <v>266</v>
      </c>
      <c r="B1" s="13"/>
      <c r="C1" s="13"/>
      <c r="D1" s="13"/>
      <c r="E1" s="13"/>
      <c r="F1" s="13"/>
      <c r="G1" s="13"/>
      <c r="H1" s="13"/>
      <c r="I1" s="13"/>
      <c r="J1" s="13"/>
      <c r="K1" s="13"/>
    </row>
    <row r="2" spans="1:11" x14ac:dyDescent="0.3">
      <c r="A2" s="13"/>
      <c r="B2" s="13"/>
      <c r="C2" s="13"/>
      <c r="D2" s="13"/>
      <c r="E2" s="13"/>
      <c r="F2" s="13"/>
      <c r="G2" s="13"/>
      <c r="H2" s="13"/>
      <c r="I2" s="13"/>
      <c r="J2" s="13"/>
      <c r="K2" s="13"/>
    </row>
    <row r="4" spans="1:11" x14ac:dyDescent="0.3">
      <c r="A4" s="9" t="s">
        <v>2</v>
      </c>
      <c r="B4" s="9" t="s">
        <v>3</v>
      </c>
      <c r="C4" s="11" t="s">
        <v>268</v>
      </c>
    </row>
    <row r="5" spans="1:11" x14ac:dyDescent="0.3">
      <c r="A5" t="s">
        <v>224</v>
      </c>
      <c r="C5" s="10">
        <v>0.98602743568144957</v>
      </c>
    </row>
    <row r="6" spans="1:11" x14ac:dyDescent="0.3">
      <c r="A6" t="s">
        <v>13</v>
      </c>
      <c r="C6" s="10">
        <v>0.97938449957524132</v>
      </c>
    </row>
    <row r="7" spans="1:11" x14ac:dyDescent="0.3">
      <c r="A7" t="s">
        <v>133</v>
      </c>
      <c r="C7" s="10">
        <v>0.97335916851931314</v>
      </c>
    </row>
    <row r="8" spans="1:11" x14ac:dyDescent="0.3">
      <c r="A8" t="s">
        <v>177</v>
      </c>
      <c r="C8" s="10">
        <v>0.99111361873192749</v>
      </c>
    </row>
    <row r="9" spans="1:11" x14ac:dyDescent="0.3">
      <c r="A9" t="s">
        <v>99</v>
      </c>
      <c r="C9" s="10">
        <v>0.98170773693561242</v>
      </c>
    </row>
    <row r="10" spans="1:11" x14ac:dyDescent="0.3">
      <c r="A10" t="s">
        <v>267</v>
      </c>
      <c r="C10" s="10">
        <v>0.9802269772098956</v>
      </c>
    </row>
    <row r="11" spans="1:11" x14ac:dyDescent="0.3">
      <c r="C11"/>
    </row>
    <row r="12" spans="1:11" x14ac:dyDescent="0.3">
      <c r="C12"/>
    </row>
    <row r="13" spans="1:11" x14ac:dyDescent="0.3">
      <c r="C13"/>
    </row>
    <row r="14" spans="1:11" x14ac:dyDescent="0.3">
      <c r="C14"/>
    </row>
    <row r="15" spans="1:11" x14ac:dyDescent="0.3">
      <c r="C15"/>
    </row>
    <row r="16" spans="1:11" x14ac:dyDescent="0.3">
      <c r="C16"/>
    </row>
    <row r="17" spans="3:3" x14ac:dyDescent="0.3">
      <c r="C17"/>
    </row>
    <row r="18" spans="3:3" x14ac:dyDescent="0.3">
      <c r="C18"/>
    </row>
    <row r="19" spans="3:3" x14ac:dyDescent="0.3">
      <c r="C19"/>
    </row>
    <row r="20" spans="3:3" x14ac:dyDescent="0.3">
      <c r="C20"/>
    </row>
    <row r="21" spans="3:3" x14ac:dyDescent="0.3">
      <c r="C21"/>
    </row>
    <row r="22" spans="3:3" x14ac:dyDescent="0.3">
      <c r="C22"/>
    </row>
    <row r="23" spans="3:3" x14ac:dyDescent="0.3">
      <c r="C23"/>
    </row>
    <row r="24" spans="3:3" x14ac:dyDescent="0.3">
      <c r="C24"/>
    </row>
    <row r="25" spans="3:3" x14ac:dyDescent="0.3">
      <c r="C25"/>
    </row>
    <row r="26" spans="3:3" x14ac:dyDescent="0.3">
      <c r="C26"/>
    </row>
    <row r="27" spans="3:3" x14ac:dyDescent="0.3">
      <c r="C27"/>
    </row>
    <row r="28" spans="3:3" x14ac:dyDescent="0.3">
      <c r="C28"/>
    </row>
    <row r="29" spans="3:3" x14ac:dyDescent="0.3">
      <c r="C29"/>
    </row>
    <row r="30" spans="3:3" x14ac:dyDescent="0.3">
      <c r="C30"/>
    </row>
    <row r="31" spans="3:3" x14ac:dyDescent="0.3">
      <c r="C31"/>
    </row>
    <row r="32" spans="3:3"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row r="44" spans="3:3" x14ac:dyDescent="0.3">
      <c r="C44"/>
    </row>
    <row r="45" spans="3:3" x14ac:dyDescent="0.3">
      <c r="C45"/>
    </row>
    <row r="46" spans="3:3" x14ac:dyDescent="0.3">
      <c r="C46"/>
    </row>
    <row r="47" spans="3:3" x14ac:dyDescent="0.3">
      <c r="C47"/>
    </row>
    <row r="48" spans="3: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sheetData>
  <mergeCells count="1">
    <mergeCell ref="A1:K2"/>
  </mergeCells>
  <pageMargins left="0.7" right="0.7" top="0.75" bottom="0.75" header="0.3" footer="0.3"/>
  <pageSetup paperSize="9" orientation="portrait" horizontalDpi="4294967293" verticalDpi="4294967293"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توزيع سلل صحية</vt:lpstr>
      <vt:lpstr>ملخص التحليل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Al-Mnthir Saffan</dc:creator>
  <cp:lastModifiedBy>soad badr</cp:lastModifiedBy>
  <dcterms:created xsi:type="dcterms:W3CDTF">2017-09-03T11:37:16Z</dcterms:created>
  <dcterms:modified xsi:type="dcterms:W3CDTF">2026-04-05T02:06:21Z</dcterms:modified>
</cp:coreProperties>
</file>